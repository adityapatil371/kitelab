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jaj Finance " sheetId="1" r:id="rId5"/>
    <sheet state="visible" name="Nifty 50 Futures " sheetId="2" r:id="rId6"/>
    <sheet state="visible" name="Cumulative Profit &amp; Chart" sheetId="3" r:id="rId7"/>
    <sheet state="visible" name="Bajaj Finance Q,M,W " sheetId="4" r:id="rId8"/>
    <sheet state="visible" name="Titan Q,M,W" sheetId="5" r:id="rId9"/>
    <sheet state="visible" name="Titan M,W,D" sheetId="6" r:id="rId10"/>
    <sheet state="visible" name="Titan ADX Daily" sheetId="7" r:id="rId11"/>
  </sheets>
  <definedNames>
    <definedName hidden="1" localSheetId="0" name="_xlnm._FilterDatabase">'Bajaj Finance '!$J$1:$J$1009</definedName>
    <definedName hidden="1" localSheetId="6" name="_xlnm._FilterDatabase">'Titan ADX Daily'!$A$8:$N$49</definedName>
  </definedNames>
  <calcPr/>
</workbook>
</file>

<file path=xl/sharedStrings.xml><?xml version="1.0" encoding="utf-8"?>
<sst xmlns="http://schemas.openxmlformats.org/spreadsheetml/2006/main" count="937" uniqueCount="120">
  <si>
    <t>RULES :</t>
  </si>
  <si>
    <t xml:space="preserve">1) Strategy MA above 20 EMA in 1 month, 1 week and also in 1 day time frame </t>
  </si>
  <si>
    <t xml:space="preserve">2) Entry at the candle high of 1 day which breaches MA of 20 </t>
  </si>
  <si>
    <t>3) SL will be the entry candle's low or when the candle closes below 20 EMA</t>
  </si>
  <si>
    <t xml:space="preserve"> 4) If a gap up occcurs will take trade at the high of the candle </t>
  </si>
  <si>
    <t>5) Risk- 500 rs; Target will be 1:2</t>
  </si>
  <si>
    <t xml:space="preserve">SR NO </t>
  </si>
  <si>
    <t>Stock Name</t>
  </si>
  <si>
    <t>Date</t>
  </si>
  <si>
    <t>Entry</t>
  </si>
  <si>
    <t>SL</t>
  </si>
  <si>
    <t>Target</t>
  </si>
  <si>
    <t>Range</t>
  </si>
  <si>
    <t xml:space="preserve">Quantities </t>
  </si>
  <si>
    <t>P/L</t>
  </si>
  <si>
    <t>Cumulative</t>
  </si>
  <si>
    <t>Points</t>
  </si>
  <si>
    <t>Bajaj Finance</t>
  </si>
  <si>
    <t>p</t>
  </si>
  <si>
    <t>l</t>
  </si>
  <si>
    <t>26 Sept 2014</t>
  </si>
  <si>
    <t>3 Sept 2015</t>
  </si>
  <si>
    <t>14 Sept 2015</t>
  </si>
  <si>
    <t>29 Sept 2015</t>
  </si>
  <si>
    <t xml:space="preserve">RULES: </t>
  </si>
  <si>
    <t>6) First Exit at 1:2 Second Exit at 20 EMA</t>
  </si>
  <si>
    <t>SR NO</t>
  </si>
  <si>
    <t>3) SL will be the entry candle's low</t>
  </si>
  <si>
    <t xml:space="preserve">                                 5) Risk- 500 rs; Target will be 1:2</t>
  </si>
  <si>
    <t>Entry Date</t>
  </si>
  <si>
    <t>Exit Date</t>
  </si>
  <si>
    <t>Exit 1  1:2</t>
  </si>
  <si>
    <t>Exit 2 20 EMA</t>
  </si>
  <si>
    <t>Count of p and l</t>
  </si>
  <si>
    <t>Cumulative Profit</t>
  </si>
  <si>
    <t>p or l</t>
  </si>
  <si>
    <t>q</t>
  </si>
  <si>
    <t>30 Sept 2013</t>
  </si>
  <si>
    <t>21 Sept 2015</t>
  </si>
  <si>
    <t>Qtys as per nifty lot</t>
  </si>
  <si>
    <t>P</t>
  </si>
  <si>
    <t>28 Sept 2015</t>
  </si>
  <si>
    <t>L</t>
  </si>
  <si>
    <t>17 Sept 2018</t>
  </si>
  <si>
    <t>16 Sept 2022</t>
  </si>
  <si>
    <t>20 Sept 2022</t>
  </si>
  <si>
    <t>21 Sept 2022</t>
  </si>
  <si>
    <t>21 Sept 2020</t>
  </si>
  <si>
    <t>1 Sept 2023</t>
  </si>
  <si>
    <t>21 Sept 2023</t>
  </si>
  <si>
    <t>28 Sept 2020</t>
  </si>
  <si>
    <t>22 Sept 2016</t>
  </si>
  <si>
    <t>6 Sept 2024</t>
  </si>
  <si>
    <t>9 Sept 2024</t>
  </si>
  <si>
    <t>11 Sept 2024</t>
  </si>
  <si>
    <t>12 Sept 2024</t>
  </si>
  <si>
    <t>30 Sept 2024</t>
  </si>
  <si>
    <t>1 Sept 2025</t>
  </si>
  <si>
    <t>3 Sept 2025</t>
  </si>
  <si>
    <t>22 Sept 2025</t>
  </si>
  <si>
    <t>Total P &amp; L =</t>
  </si>
  <si>
    <t>Total Points =</t>
  </si>
  <si>
    <t>No of win trades (X)</t>
  </si>
  <si>
    <t xml:space="preserve">Avg win = </t>
  </si>
  <si>
    <t xml:space="preserve">Average of points= </t>
  </si>
  <si>
    <t>No of loss trades (Y)</t>
  </si>
  <si>
    <t>Avg Loss =</t>
  </si>
  <si>
    <t>Move =</t>
  </si>
  <si>
    <t>Captured =</t>
  </si>
  <si>
    <t>Total =</t>
  </si>
  <si>
    <t>Captured % =</t>
  </si>
  <si>
    <t>30 Sept 2022</t>
  </si>
  <si>
    <t>%</t>
  </si>
  <si>
    <t>Expectancy Ratio =</t>
  </si>
  <si>
    <t>(x*(x/(X+Y)))-(Y*(Y/X+Y)))</t>
  </si>
  <si>
    <t>MOVE</t>
  </si>
  <si>
    <t>CAPTURED</t>
  </si>
  <si>
    <t>26 Sept 2016</t>
  </si>
  <si>
    <t>Rules ( 1 day ):</t>
  </si>
  <si>
    <t>1) ADX indicator value should be more 25 or more than it to take trades</t>
  </si>
  <si>
    <t>3 Sept 2018</t>
  </si>
  <si>
    <t xml:space="preserve">2) Stock should touch the 20 EMA and go up and simultaneoulsy it should show the spike at ADX above 25 </t>
  </si>
  <si>
    <t xml:space="preserve">3) Target will be previous swing high </t>
  </si>
  <si>
    <t>4) Second target will be trailing stoploss which will be  previous swing low</t>
  </si>
  <si>
    <t xml:space="preserve">5) Have to take the uptrends in the chart after spotting ADX value more than 25 no downtrends </t>
  </si>
  <si>
    <t>6) Entry will be the candle's high and SL will be swing low</t>
  </si>
  <si>
    <t xml:space="preserve">Exit 1  </t>
  </si>
  <si>
    <t xml:space="preserve">Exit 2 </t>
  </si>
  <si>
    <t xml:space="preserve">9 Sept 2019 </t>
  </si>
  <si>
    <t>26 Sept 2024</t>
  </si>
  <si>
    <t>15 Sept 2025</t>
  </si>
  <si>
    <t>27 Sept 2022</t>
  </si>
  <si>
    <t>17 Sept 2014</t>
  </si>
  <si>
    <t>18 Sept 2014</t>
  </si>
  <si>
    <t>40 onoging</t>
  </si>
  <si>
    <t>No of win trades (X) = 14</t>
  </si>
  <si>
    <t>21 Sept 2017</t>
  </si>
  <si>
    <t>Avg win =</t>
  </si>
  <si>
    <t>Avg Points =</t>
  </si>
  <si>
    <t>No of loss trades (Y) = 26</t>
  </si>
  <si>
    <t>Avg loss =</t>
  </si>
  <si>
    <t xml:space="preserve">   Total no of trades = 40</t>
  </si>
  <si>
    <t>Captured</t>
  </si>
  <si>
    <t>Expectancy Ratio = 13391.5</t>
  </si>
  <si>
    <t xml:space="preserve">Captured % </t>
  </si>
  <si>
    <t>No of win trades (X) = 26</t>
  </si>
  <si>
    <t>No of loss trades (Y) = 14</t>
  </si>
  <si>
    <t xml:space="preserve">Expectancy = </t>
  </si>
  <si>
    <t>12 Sept 2016</t>
  </si>
  <si>
    <t>23 Sept 2016</t>
  </si>
  <si>
    <t>4 Sept 2018</t>
  </si>
  <si>
    <t>9 Sept 2019</t>
  </si>
  <si>
    <t>1 Sept 2020</t>
  </si>
  <si>
    <t>28 Sept 2023</t>
  </si>
  <si>
    <t>11 Sept 2025</t>
  </si>
  <si>
    <t>138 ongoing</t>
  </si>
  <si>
    <t>No of win trades (X) = 50</t>
  </si>
  <si>
    <t>No of loss trades (Y) = 88</t>
  </si>
  <si>
    <t xml:space="preserve">   Total no of trades = 138</t>
  </si>
  <si>
    <t>Expectancy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</si>
</sst>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 yyyy"/>
    <numFmt numFmtId="165" formatCode="d mmmm yyyy"/>
    <numFmt numFmtId="166" formatCode="d mmm yy"/>
    <numFmt numFmtId="167" formatCode="d mmm yyyy h:mm"/>
    <numFmt numFmtId="168" formatCode="d mmm h:mm"/>
  </numFmts>
  <fonts count="15">
    <font>
      <sz val="10.0"/>
      <color rgb="FF000000"/>
      <name val="Arial"/>
      <scheme val="minor"/>
    </font>
    <font>
      <b/>
      <sz val="14.0"/>
      <color theme="1"/>
      <name val="Times New Roman"/>
    </font>
    <font>
      <b/>
      <sz val="13.0"/>
      <color theme="1"/>
      <name val="Arial"/>
      <scheme val="minor"/>
    </font>
    <font>
      <b/>
      <sz val="15.0"/>
      <color theme="1"/>
      <name val="Times New Roman"/>
    </font>
    <font>
      <b/>
      <sz val="11.0"/>
      <color theme="1"/>
      <name val="Times New Roman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Times New Roman"/>
    </font>
    <font>
      <b/>
      <sz val="13.0"/>
      <color theme="1"/>
      <name val="Times New Roman"/>
    </font>
    <font>
      <b/>
      <color theme="1"/>
      <name val="Times New Roman"/>
    </font>
    <font>
      <sz val="13.0"/>
      <color theme="1"/>
      <name val="Arial"/>
      <scheme val="minor"/>
    </font>
    <font>
      <sz val="13.0"/>
      <color theme="1"/>
      <name val="Times New Roman"/>
    </font>
    <font>
      <sz val="11.0"/>
      <color rgb="FF00FF00"/>
      <name val="Times New Roman"/>
    </font>
    <font>
      <sz val="11.0"/>
      <color rgb="FFFF0000"/>
      <name val="Times New Roman"/>
    </font>
    <font>
      <sz val="11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Font="1"/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/>
    </xf>
    <xf borderId="0" fillId="0" fontId="6" numFmtId="0" xfId="0" applyFont="1"/>
    <xf borderId="0" fillId="0" fontId="7" numFmtId="165" xfId="0" applyAlignment="1" applyFont="1" applyNumberFormat="1">
      <alignment horizontal="center" readingOrder="0"/>
    </xf>
    <xf borderId="0" fillId="0" fontId="8" numFmtId="0" xfId="0" applyFont="1"/>
    <xf borderId="0" fillId="0" fontId="8" numFmtId="0" xfId="0" applyAlignment="1" applyFont="1">
      <alignment readingOrder="0"/>
    </xf>
    <xf borderId="0" fillId="0" fontId="1" numFmtId="0" xfId="0" applyFont="1"/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10" numFmtId="0" xfId="0" applyAlignment="1" applyFont="1">
      <alignment horizontal="left"/>
    </xf>
    <xf borderId="0" fillId="0" fontId="10" numFmtId="0" xfId="0" applyFont="1"/>
    <xf borderId="0" fillId="0" fontId="11" numFmtId="0" xfId="0" applyAlignment="1" applyFont="1">
      <alignment horizontal="center" readingOrder="0"/>
    </xf>
    <xf borderId="0" fillId="0" fontId="11" numFmtId="164" xfId="0" applyAlignment="1" applyFont="1" applyNumberFormat="1">
      <alignment horizontal="center" readingOrder="0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readingOrder="0" vertical="bottom"/>
    </xf>
    <xf borderId="0" fillId="0" fontId="11" numFmtId="165" xfId="0" applyAlignment="1" applyFont="1" applyNumberFormat="1">
      <alignment horizontal="center" readingOrder="0"/>
    </xf>
    <xf borderId="0" fillId="0" fontId="7" numFmtId="166" xfId="0" applyAlignment="1" applyFont="1" applyNumberFormat="1">
      <alignment horizontal="center" readingOrder="0"/>
    </xf>
    <xf borderId="0" fillId="0" fontId="7" numFmtId="167" xfId="0" applyAlignment="1" applyFont="1" applyNumberFormat="1">
      <alignment horizontal="center" readingOrder="0"/>
    </xf>
    <xf borderId="0" fillId="0" fontId="8" numFmtId="0" xfId="0" applyAlignment="1" applyFont="1">
      <alignment horizontal="center"/>
    </xf>
    <xf borderId="0" fillId="0" fontId="7" numFmtId="168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7" numFmtId="164" xfId="0" applyAlignment="1" applyFont="1" applyNumberFormat="1">
      <alignment horizontal="left" readingOrder="0"/>
    </xf>
    <xf borderId="0" fillId="0" fontId="12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0" fontId="13" numFmtId="0" xfId="0" applyAlignment="1" applyFont="1">
      <alignment horizontal="left" readingOrder="0"/>
    </xf>
    <xf borderId="0" fillId="0" fontId="7" numFmtId="165" xfId="0" applyAlignment="1" applyFont="1" applyNumberFormat="1">
      <alignment horizontal="left" readingOrder="0"/>
    </xf>
    <xf borderId="0" fillId="0" fontId="6" numFmtId="0" xfId="0" applyAlignment="1" applyFont="1">
      <alignment horizontal="right"/>
    </xf>
    <xf borderId="0" fillId="0" fontId="7" numFmtId="0" xfId="0" applyAlignment="1" applyFont="1">
      <alignment horizontal="right" readingOrder="0"/>
    </xf>
    <xf borderId="0" fillId="0" fontId="7" numFmtId="0" xfId="0" applyAlignment="1" applyFont="1">
      <alignment horizontal="right"/>
    </xf>
    <xf borderId="0" fillId="0" fontId="6" numFmtId="0" xfId="0" applyAlignment="1" applyFont="1">
      <alignment horizontal="left"/>
    </xf>
    <xf borderId="0" fillId="0" fontId="7" numFmtId="0" xfId="0" applyFont="1"/>
    <xf borderId="0" fillId="2" fontId="14" numFmtId="0" xfId="0" applyAlignment="1" applyFill="1" applyFont="1">
      <alignment horizontal="center" readingOrder="0" shrinkToFit="0" wrapText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200">
                <a:solidFill>
                  <a:schemeClr val="dk1"/>
                </a:solidFill>
                <a:latin typeface="+mn-lt"/>
              </a:defRPr>
            </a:pPr>
            <a:r>
              <a:rPr b="0" sz="2200">
                <a:solidFill>
                  <a:schemeClr val="dk1"/>
                </a:solidFill>
                <a:latin typeface="+mn-lt"/>
              </a:rPr>
              <a:t>Cumulative Profit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'Nifty 50 Futures '!$L$8:$L$49</c:f>
              <c:numCache/>
            </c:numRef>
          </c:val>
          <c:smooth val="0"/>
        </c:ser>
        <c:axId val="961908255"/>
        <c:axId val="1528808522"/>
      </c:lineChart>
      <c:catAx>
        <c:axId val="961908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8808522"/>
      </c:catAx>
      <c:valAx>
        <c:axId val="1528808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19082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'Cumulative Profit &amp; Chart'!$H$6:$H$105</c:f>
              <c:numCache/>
            </c:numRef>
          </c:val>
          <c:smooth val="0"/>
        </c:ser>
        <c:axId val="1016868722"/>
        <c:axId val="1818825928"/>
      </c:lineChart>
      <c:catAx>
        <c:axId val="1016868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8825928"/>
      </c:catAx>
      <c:valAx>
        <c:axId val="1818825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68687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Cumulative Profit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'Bajaj Finance Q,M,W '!$N$8:$N$33</c:f>
              <c:numCache/>
            </c:numRef>
          </c:val>
          <c:smooth val="0"/>
        </c:ser>
        <c:axId val="903493747"/>
        <c:axId val="1994678643"/>
      </c:lineChart>
      <c:catAx>
        <c:axId val="903493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678643"/>
      </c:catAx>
      <c:valAx>
        <c:axId val="19946786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34937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Cumulative Profit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'Titan Q,M,W'!$M$9:$M$42</c:f>
              <c:numCache/>
            </c:numRef>
          </c:val>
          <c:smooth val="0"/>
        </c:ser>
        <c:axId val="1556953010"/>
        <c:axId val="1283301501"/>
      </c:lineChart>
      <c:catAx>
        <c:axId val="1556953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3301501"/>
      </c:catAx>
      <c:valAx>
        <c:axId val="12833015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9530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chemeClr val="dk1"/>
                </a:solidFill>
                <a:latin typeface="+mn-lt"/>
              </a:defRPr>
            </a:pPr>
            <a:r>
              <a:rPr b="1" sz="2000">
                <a:solidFill>
                  <a:schemeClr val="dk1"/>
                </a:solidFill>
                <a:latin typeface="+mn-lt"/>
              </a:rPr>
              <a:t>Cumulative Profit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'Titan M,W,D'!$M$9:$M$146</c:f>
              <c:numCache/>
            </c:numRef>
          </c:val>
          <c:smooth val="0"/>
        </c:ser>
        <c:axId val="226364599"/>
        <c:axId val="395160012"/>
      </c:lineChart>
      <c:catAx>
        <c:axId val="226364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5160012"/>
      </c:catAx>
      <c:valAx>
        <c:axId val="395160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3645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chemeClr val="dk1"/>
                </a:solidFill>
                <a:latin typeface="+mn-lt"/>
              </a:defRPr>
            </a:pPr>
            <a:r>
              <a:rPr b="1" sz="1800">
                <a:solidFill>
                  <a:schemeClr val="dk1"/>
                </a:solidFill>
                <a:latin typeface="+mn-lt"/>
              </a:rPr>
              <a:t>Cumulative Profit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'Titan ADX Daily'!$M$9:$M$48</c:f>
              <c:numCache/>
            </c:numRef>
          </c:val>
          <c:smooth val="0"/>
        </c:ser>
        <c:axId val="253286090"/>
        <c:axId val="2058473600"/>
      </c:lineChart>
      <c:catAx>
        <c:axId val="253286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8473600"/>
      </c:catAx>
      <c:valAx>
        <c:axId val="2058473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2860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76200</xdr:colOff>
      <xdr:row>6</xdr:row>
      <xdr:rowOff>123825</xdr:rowOff>
    </xdr:from>
    <xdr:ext cx="5657850" cy="34194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619125</xdr:colOff>
      <xdr:row>7</xdr:row>
      <xdr:rowOff>38100</xdr:rowOff>
    </xdr:from>
    <xdr:ext cx="4495800" cy="2781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1143000</xdr:colOff>
      <xdr:row>44</xdr:row>
      <xdr:rowOff>171450</xdr:rowOff>
    </xdr:from>
    <xdr:ext cx="3848100" cy="23812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714375</xdr:colOff>
      <xdr:row>50</xdr:row>
      <xdr:rowOff>9525</xdr:rowOff>
    </xdr:from>
    <xdr:ext cx="3152775" cy="19431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85725</xdr:colOff>
      <xdr:row>148</xdr:row>
      <xdr:rowOff>47625</xdr:rowOff>
    </xdr:from>
    <xdr:ext cx="4200525" cy="25908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647700</xdr:colOff>
      <xdr:row>22</xdr:row>
      <xdr:rowOff>180975</xdr:rowOff>
    </xdr:from>
    <xdr:ext cx="3552825" cy="21907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33.88"/>
    <col customWidth="1" min="5" max="5" width="15.13"/>
    <col customWidth="1" min="6" max="6" width="19.75"/>
    <col customWidth="1" min="11" max="11" width="16.63"/>
  </cols>
  <sheetData>
    <row r="1">
      <c r="B1" s="1" t="s">
        <v>0</v>
      </c>
      <c r="C1" s="2" t="s">
        <v>1</v>
      </c>
      <c r="D1" s="3"/>
      <c r="E1" s="3"/>
      <c r="F1" s="3"/>
      <c r="G1" s="4"/>
    </row>
    <row r="2">
      <c r="C2" s="2" t="s">
        <v>2</v>
      </c>
      <c r="D2" s="3"/>
      <c r="E2" s="2"/>
      <c r="F2" s="3"/>
      <c r="G2" s="5"/>
      <c r="H2" s="5"/>
    </row>
    <row r="3">
      <c r="C3" s="2" t="s">
        <v>3</v>
      </c>
      <c r="D3" s="3"/>
      <c r="E3" s="3"/>
      <c r="F3" s="3"/>
    </row>
    <row r="4">
      <c r="C4" s="2" t="s">
        <v>4</v>
      </c>
      <c r="D4" s="3"/>
      <c r="E4" s="3"/>
      <c r="F4" s="3"/>
    </row>
    <row r="5">
      <c r="A5" s="6"/>
      <c r="B5" s="6"/>
      <c r="C5" s="6" t="s">
        <v>5</v>
      </c>
      <c r="D5" s="6"/>
      <c r="E5" s="6"/>
      <c r="F5" s="6"/>
      <c r="G5" s="6"/>
      <c r="H5" s="6"/>
      <c r="I5" s="6"/>
    </row>
    <row r="6">
      <c r="A6" s="6"/>
      <c r="B6" s="6"/>
      <c r="C6" s="6"/>
      <c r="D6" s="6"/>
      <c r="E6" s="6"/>
      <c r="F6" s="6"/>
      <c r="G6" s="6"/>
      <c r="H6" s="6"/>
      <c r="I6" s="6"/>
    </row>
    <row r="7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8"/>
      <c r="K7" s="9" t="s">
        <v>15</v>
      </c>
      <c r="L7" s="10" t="s">
        <v>16</v>
      </c>
    </row>
    <row r="8">
      <c r="A8" s="11">
        <v>1.0</v>
      </c>
      <c r="B8" s="11" t="s">
        <v>17</v>
      </c>
      <c r="C8" s="12">
        <v>41550.0</v>
      </c>
      <c r="D8" s="11">
        <v>12.15</v>
      </c>
      <c r="E8" s="11">
        <v>11.55</v>
      </c>
      <c r="F8" s="11">
        <v>13.35</v>
      </c>
      <c r="G8" s="13">
        <f t="shared" ref="G8:G107" si="1">(D8-E8)</f>
        <v>0.6</v>
      </c>
      <c r="H8" s="11">
        <f t="shared" ref="H8:H107" si="2">500/G8</f>
        <v>833.3333333</v>
      </c>
      <c r="I8" s="13">
        <f t="shared" ref="I8:I10" si="3">(F8-D8)*H8</f>
        <v>1000</v>
      </c>
      <c r="J8" s="11" t="s">
        <v>18</v>
      </c>
      <c r="K8" s="11">
        <f>(I8)</f>
        <v>1000</v>
      </c>
      <c r="L8" s="14">
        <f t="shared" ref="L8:L107" si="4">I8/H8</f>
        <v>1.2</v>
      </c>
    </row>
    <row r="9">
      <c r="A9" s="11">
        <v>2.0</v>
      </c>
      <c r="B9" s="11" t="s">
        <v>17</v>
      </c>
      <c r="C9" s="12">
        <v>41688.0</v>
      </c>
      <c r="D9" s="11">
        <v>15.78</v>
      </c>
      <c r="E9" s="11">
        <v>15.06</v>
      </c>
      <c r="F9" s="11">
        <v>17.22</v>
      </c>
      <c r="G9" s="13">
        <f t="shared" si="1"/>
        <v>0.72</v>
      </c>
      <c r="H9" s="11">
        <f t="shared" si="2"/>
        <v>694.4444444</v>
      </c>
      <c r="I9" s="13">
        <f t="shared" si="3"/>
        <v>1000</v>
      </c>
      <c r="J9" s="11" t="s">
        <v>18</v>
      </c>
      <c r="K9" s="13">
        <f t="shared" ref="K9:K107" si="5">(K8+I9)</f>
        <v>2000</v>
      </c>
      <c r="L9" s="14">
        <f t="shared" si="4"/>
        <v>1.44</v>
      </c>
    </row>
    <row r="10">
      <c r="A10" s="11">
        <v>3.0</v>
      </c>
      <c r="B10" s="11" t="s">
        <v>17</v>
      </c>
      <c r="C10" s="15">
        <v>41780.0</v>
      </c>
      <c r="D10" s="11">
        <v>18.49</v>
      </c>
      <c r="E10" s="11">
        <v>17.88</v>
      </c>
      <c r="F10" s="11">
        <v>19.71</v>
      </c>
      <c r="G10" s="13">
        <f t="shared" si="1"/>
        <v>0.61</v>
      </c>
      <c r="H10" s="11">
        <f t="shared" si="2"/>
        <v>819.6721311</v>
      </c>
      <c r="I10" s="13">
        <f t="shared" si="3"/>
        <v>1000</v>
      </c>
      <c r="J10" s="11" t="s">
        <v>18</v>
      </c>
      <c r="K10" s="13">
        <f t="shared" si="5"/>
        <v>3000</v>
      </c>
      <c r="L10" s="14">
        <f t="shared" si="4"/>
        <v>1.22</v>
      </c>
    </row>
    <row r="11">
      <c r="A11" s="11">
        <v>4.0</v>
      </c>
      <c r="B11" s="11" t="s">
        <v>17</v>
      </c>
      <c r="C11" s="12">
        <v>41808.0</v>
      </c>
      <c r="D11" s="11">
        <v>21.49</v>
      </c>
      <c r="E11" s="11">
        <v>19.68</v>
      </c>
      <c r="F11" s="13">
        <f t="shared" ref="F11:F58" si="6">(D11-E11)*2+D11</f>
        <v>25.11</v>
      </c>
      <c r="G11" s="13">
        <f t="shared" si="1"/>
        <v>1.81</v>
      </c>
      <c r="H11" s="11">
        <f t="shared" si="2"/>
        <v>276.2430939</v>
      </c>
      <c r="I11" s="13">
        <f>-(D11-E11)*H11</f>
        <v>-500</v>
      </c>
      <c r="J11" s="11" t="s">
        <v>19</v>
      </c>
      <c r="K11" s="13">
        <f t="shared" si="5"/>
        <v>2500</v>
      </c>
      <c r="L11" s="14">
        <f t="shared" si="4"/>
        <v>-1.81</v>
      </c>
    </row>
    <row r="12">
      <c r="A12" s="11">
        <v>5.0</v>
      </c>
      <c r="B12" s="11" t="s">
        <v>17</v>
      </c>
      <c r="C12" s="15">
        <v>41822.0</v>
      </c>
      <c r="D12" s="11">
        <v>21.19</v>
      </c>
      <c r="E12" s="11">
        <v>20.1</v>
      </c>
      <c r="F12" s="13">
        <f t="shared" si="6"/>
        <v>23.37</v>
      </c>
      <c r="G12" s="13">
        <f t="shared" si="1"/>
        <v>1.09</v>
      </c>
      <c r="H12" s="11">
        <f t="shared" si="2"/>
        <v>458.7155963</v>
      </c>
      <c r="I12" s="13">
        <f t="shared" ref="I12:I15" si="7">(F12-D12)*H12</f>
        <v>1000</v>
      </c>
      <c r="J12" s="11" t="s">
        <v>18</v>
      </c>
      <c r="K12" s="13">
        <f t="shared" si="5"/>
        <v>3500</v>
      </c>
      <c r="L12" s="14">
        <f t="shared" si="4"/>
        <v>2.18</v>
      </c>
    </row>
    <row r="13">
      <c r="A13" s="11">
        <v>6.0</v>
      </c>
      <c r="B13" s="11" t="s">
        <v>17</v>
      </c>
      <c r="C13" s="15">
        <v>41859.0</v>
      </c>
      <c r="D13" s="11">
        <v>22.5</v>
      </c>
      <c r="E13" s="11">
        <v>21.5</v>
      </c>
      <c r="F13" s="13">
        <f t="shared" si="6"/>
        <v>24.5</v>
      </c>
      <c r="G13" s="13">
        <f t="shared" si="1"/>
        <v>1</v>
      </c>
      <c r="H13" s="11">
        <f t="shared" si="2"/>
        <v>500</v>
      </c>
      <c r="I13" s="13">
        <f t="shared" si="7"/>
        <v>1000</v>
      </c>
      <c r="J13" s="11" t="s">
        <v>18</v>
      </c>
      <c r="K13" s="13">
        <f t="shared" si="5"/>
        <v>4500</v>
      </c>
      <c r="L13" s="14">
        <f t="shared" si="4"/>
        <v>2</v>
      </c>
    </row>
    <row r="14">
      <c r="A14" s="11">
        <v>7.0</v>
      </c>
      <c r="B14" s="11" t="s">
        <v>17</v>
      </c>
      <c r="C14" s="11" t="s">
        <v>20</v>
      </c>
      <c r="D14" s="11">
        <v>25.7</v>
      </c>
      <c r="E14" s="11">
        <v>24.92</v>
      </c>
      <c r="F14" s="13">
        <f t="shared" si="6"/>
        <v>27.26</v>
      </c>
      <c r="G14" s="13">
        <f t="shared" si="1"/>
        <v>0.78</v>
      </c>
      <c r="H14" s="11">
        <f t="shared" si="2"/>
        <v>641.025641</v>
      </c>
      <c r="I14" s="13">
        <f t="shared" si="7"/>
        <v>1000</v>
      </c>
      <c r="J14" s="11" t="s">
        <v>18</v>
      </c>
      <c r="K14" s="13">
        <f t="shared" si="5"/>
        <v>5500</v>
      </c>
      <c r="L14" s="14">
        <f t="shared" si="4"/>
        <v>1.56</v>
      </c>
    </row>
    <row r="15">
      <c r="A15" s="11">
        <v>8.0</v>
      </c>
      <c r="B15" s="11" t="s">
        <v>17</v>
      </c>
      <c r="C15" s="12">
        <v>41933.0</v>
      </c>
      <c r="D15" s="11">
        <v>26.6</v>
      </c>
      <c r="E15" s="11">
        <v>25.8</v>
      </c>
      <c r="F15" s="13">
        <f t="shared" si="6"/>
        <v>28.2</v>
      </c>
      <c r="G15" s="13">
        <f t="shared" si="1"/>
        <v>0.8</v>
      </c>
      <c r="H15" s="11">
        <f t="shared" si="2"/>
        <v>625</v>
      </c>
      <c r="I15" s="13">
        <f t="shared" si="7"/>
        <v>1000</v>
      </c>
      <c r="J15" s="11" t="s">
        <v>18</v>
      </c>
      <c r="K15" s="13">
        <f t="shared" si="5"/>
        <v>6500</v>
      </c>
      <c r="L15" s="14">
        <f t="shared" si="4"/>
        <v>1.6</v>
      </c>
    </row>
    <row r="16">
      <c r="A16" s="11">
        <v>9.0</v>
      </c>
      <c r="B16" s="11" t="s">
        <v>17</v>
      </c>
      <c r="C16" s="12">
        <v>42063.0</v>
      </c>
      <c r="D16" s="11">
        <v>44.67</v>
      </c>
      <c r="E16" s="11">
        <v>41.01</v>
      </c>
      <c r="F16" s="13">
        <f t="shared" si="6"/>
        <v>51.99</v>
      </c>
      <c r="G16" s="13">
        <f t="shared" si="1"/>
        <v>3.66</v>
      </c>
      <c r="H16" s="11">
        <f t="shared" si="2"/>
        <v>136.6120219</v>
      </c>
      <c r="I16" s="13">
        <f>-(D16-E16)*H16</f>
        <v>-500</v>
      </c>
      <c r="J16" s="11" t="s">
        <v>19</v>
      </c>
      <c r="K16" s="13">
        <f t="shared" si="5"/>
        <v>6000</v>
      </c>
      <c r="L16" s="14">
        <f t="shared" si="4"/>
        <v>-3.66</v>
      </c>
    </row>
    <row r="17">
      <c r="A17" s="11">
        <v>10.0</v>
      </c>
      <c r="B17" s="11" t="s">
        <v>17</v>
      </c>
      <c r="C17" s="12">
        <v>42094.0</v>
      </c>
      <c r="D17" s="11">
        <v>41.99</v>
      </c>
      <c r="E17" s="11">
        <v>39.9</v>
      </c>
      <c r="F17" s="13">
        <f t="shared" si="6"/>
        <v>46.17</v>
      </c>
      <c r="G17" s="13">
        <f t="shared" si="1"/>
        <v>2.09</v>
      </c>
      <c r="H17" s="11">
        <f t="shared" si="2"/>
        <v>239.2344498</v>
      </c>
      <c r="I17" s="13">
        <f>(F17-D17)*H17</f>
        <v>1000</v>
      </c>
      <c r="J17" s="11" t="s">
        <v>18</v>
      </c>
      <c r="K17" s="13">
        <f t="shared" si="5"/>
        <v>7000</v>
      </c>
      <c r="L17" s="14">
        <f t="shared" si="4"/>
        <v>4.18</v>
      </c>
    </row>
    <row r="18">
      <c r="A18" s="11">
        <v>11.0</v>
      </c>
      <c r="B18" s="11" t="s">
        <v>17</v>
      </c>
      <c r="C18" s="15">
        <v>42132.0</v>
      </c>
      <c r="D18" s="11">
        <v>43.5</v>
      </c>
      <c r="E18" s="11">
        <v>41.45</v>
      </c>
      <c r="F18" s="13">
        <f t="shared" si="6"/>
        <v>47.6</v>
      </c>
      <c r="G18" s="13">
        <f t="shared" si="1"/>
        <v>2.05</v>
      </c>
      <c r="H18" s="11">
        <f t="shared" si="2"/>
        <v>243.902439</v>
      </c>
      <c r="I18" s="13">
        <f>-(D18-E18)*H18</f>
        <v>-500</v>
      </c>
      <c r="J18" s="11" t="s">
        <v>19</v>
      </c>
      <c r="K18" s="13">
        <f t="shared" si="5"/>
        <v>6500</v>
      </c>
      <c r="L18" s="14">
        <f t="shared" si="4"/>
        <v>-2.05</v>
      </c>
    </row>
    <row r="19">
      <c r="A19" s="11">
        <v>12.0</v>
      </c>
      <c r="B19" s="11" t="s">
        <v>17</v>
      </c>
      <c r="C19" s="12">
        <v>42160.0</v>
      </c>
      <c r="D19" s="11">
        <v>44.95</v>
      </c>
      <c r="E19" s="11">
        <v>43.0</v>
      </c>
      <c r="F19" s="13">
        <f t="shared" si="6"/>
        <v>48.85</v>
      </c>
      <c r="G19" s="13">
        <f t="shared" si="1"/>
        <v>1.95</v>
      </c>
      <c r="H19" s="11">
        <f t="shared" si="2"/>
        <v>256.4102564</v>
      </c>
      <c r="I19" s="13">
        <f>(F19-D19)*H19</f>
        <v>1000</v>
      </c>
      <c r="J19" s="11" t="s">
        <v>18</v>
      </c>
      <c r="K19" s="13">
        <f t="shared" si="5"/>
        <v>7500</v>
      </c>
      <c r="L19" s="14">
        <f t="shared" si="4"/>
        <v>3.9</v>
      </c>
    </row>
    <row r="20">
      <c r="A20" s="11">
        <v>13.0</v>
      </c>
      <c r="B20" s="11" t="s">
        <v>17</v>
      </c>
      <c r="C20" s="12">
        <v>42201.0</v>
      </c>
      <c r="D20" s="11">
        <v>52.83</v>
      </c>
      <c r="E20" s="11">
        <v>51.65</v>
      </c>
      <c r="F20" s="13">
        <f t="shared" si="6"/>
        <v>55.19</v>
      </c>
      <c r="G20" s="13">
        <f t="shared" si="1"/>
        <v>1.18</v>
      </c>
      <c r="H20" s="11">
        <f t="shared" si="2"/>
        <v>423.7288136</v>
      </c>
      <c r="I20" s="13">
        <f>-(D20-E20)*H20</f>
        <v>-500</v>
      </c>
      <c r="J20" s="11" t="s">
        <v>19</v>
      </c>
      <c r="K20" s="13">
        <f t="shared" si="5"/>
        <v>7000</v>
      </c>
      <c r="L20" s="14">
        <f t="shared" si="4"/>
        <v>-1.18</v>
      </c>
    </row>
    <row r="21">
      <c r="A21" s="11">
        <v>14.0</v>
      </c>
      <c r="B21" s="11" t="s">
        <v>17</v>
      </c>
      <c r="C21" s="15">
        <v>42209.0</v>
      </c>
      <c r="D21" s="11">
        <v>52.1</v>
      </c>
      <c r="E21" s="11">
        <v>51.36</v>
      </c>
      <c r="F21" s="13">
        <f t="shared" si="6"/>
        <v>53.58</v>
      </c>
      <c r="G21" s="13">
        <f t="shared" si="1"/>
        <v>0.74</v>
      </c>
      <c r="H21" s="11">
        <f t="shared" si="2"/>
        <v>675.6756757</v>
      </c>
      <c r="I21" s="13">
        <f>(F21-D21)*H21</f>
        <v>1000</v>
      </c>
      <c r="J21" s="11" t="s">
        <v>18</v>
      </c>
      <c r="K21" s="13">
        <f t="shared" si="5"/>
        <v>8000</v>
      </c>
      <c r="L21" s="14">
        <f t="shared" si="4"/>
        <v>1.48</v>
      </c>
    </row>
    <row r="22">
      <c r="A22" s="11">
        <v>15.0</v>
      </c>
      <c r="B22" s="11" t="s">
        <v>17</v>
      </c>
      <c r="C22" s="12">
        <v>42230.0</v>
      </c>
      <c r="D22" s="11">
        <v>54.47</v>
      </c>
      <c r="E22" s="11">
        <v>53.19</v>
      </c>
      <c r="F22" s="13">
        <f t="shared" si="6"/>
        <v>57.03</v>
      </c>
      <c r="G22" s="13">
        <f t="shared" si="1"/>
        <v>1.28</v>
      </c>
      <c r="H22" s="11">
        <f t="shared" si="2"/>
        <v>390.625</v>
      </c>
      <c r="I22" s="13">
        <f t="shared" ref="I22:I26" si="8">-(D22-E22)*H22</f>
        <v>-500</v>
      </c>
      <c r="J22" s="11" t="s">
        <v>19</v>
      </c>
      <c r="K22" s="13">
        <f t="shared" si="5"/>
        <v>7500</v>
      </c>
      <c r="L22" s="14">
        <f t="shared" si="4"/>
        <v>-1.28</v>
      </c>
    </row>
    <row r="23">
      <c r="A23" s="11">
        <v>16.0</v>
      </c>
      <c r="B23" s="11" t="s">
        <v>17</v>
      </c>
      <c r="C23" s="11" t="s">
        <v>21</v>
      </c>
      <c r="D23" s="11">
        <v>52.42</v>
      </c>
      <c r="E23" s="11">
        <v>50.71</v>
      </c>
      <c r="F23" s="13">
        <f t="shared" si="6"/>
        <v>55.84</v>
      </c>
      <c r="G23" s="13">
        <f t="shared" si="1"/>
        <v>1.71</v>
      </c>
      <c r="H23" s="11">
        <f t="shared" si="2"/>
        <v>292.3976608</v>
      </c>
      <c r="I23" s="13">
        <f t="shared" si="8"/>
        <v>-500</v>
      </c>
      <c r="J23" s="11" t="s">
        <v>19</v>
      </c>
      <c r="K23" s="13">
        <f t="shared" si="5"/>
        <v>7000</v>
      </c>
      <c r="L23" s="14">
        <f t="shared" si="4"/>
        <v>-1.71</v>
      </c>
    </row>
    <row r="24">
      <c r="A24" s="11">
        <v>17.0</v>
      </c>
      <c r="B24" s="11" t="s">
        <v>17</v>
      </c>
      <c r="C24" s="11" t="s">
        <v>22</v>
      </c>
      <c r="D24" s="11">
        <v>51.81</v>
      </c>
      <c r="E24" s="11">
        <v>50.36</v>
      </c>
      <c r="F24" s="13">
        <f t="shared" si="6"/>
        <v>54.71</v>
      </c>
      <c r="G24" s="13">
        <f t="shared" si="1"/>
        <v>1.45</v>
      </c>
      <c r="H24" s="11">
        <f t="shared" si="2"/>
        <v>344.8275862</v>
      </c>
      <c r="I24" s="13">
        <f t="shared" si="8"/>
        <v>-500</v>
      </c>
      <c r="J24" s="11" t="s">
        <v>19</v>
      </c>
      <c r="K24" s="13">
        <f t="shared" si="5"/>
        <v>6500</v>
      </c>
      <c r="L24" s="14">
        <f t="shared" si="4"/>
        <v>-1.45</v>
      </c>
    </row>
    <row r="25">
      <c r="A25" s="11">
        <v>18.0</v>
      </c>
      <c r="B25" s="11" t="s">
        <v>17</v>
      </c>
      <c r="C25" s="11" t="s">
        <v>23</v>
      </c>
      <c r="D25" s="11">
        <v>51.49</v>
      </c>
      <c r="E25" s="11">
        <v>47.32</v>
      </c>
      <c r="F25" s="13">
        <f t="shared" si="6"/>
        <v>59.83</v>
      </c>
      <c r="G25" s="13">
        <f t="shared" si="1"/>
        <v>4.17</v>
      </c>
      <c r="H25" s="11">
        <f t="shared" si="2"/>
        <v>119.9040767</v>
      </c>
      <c r="I25" s="13">
        <f t="shared" si="8"/>
        <v>-500</v>
      </c>
      <c r="J25" s="11" t="s">
        <v>19</v>
      </c>
      <c r="K25" s="13">
        <f t="shared" si="5"/>
        <v>6000</v>
      </c>
      <c r="L25" s="14">
        <f t="shared" si="4"/>
        <v>-4.17</v>
      </c>
    </row>
    <row r="26">
      <c r="A26" s="11">
        <v>19.0</v>
      </c>
      <c r="B26" s="11" t="s">
        <v>17</v>
      </c>
      <c r="C26" s="12">
        <v>42297.0</v>
      </c>
      <c r="D26" s="11">
        <v>53.49</v>
      </c>
      <c r="E26" s="11">
        <v>50.29</v>
      </c>
      <c r="F26" s="13">
        <f t="shared" si="6"/>
        <v>59.89</v>
      </c>
      <c r="G26" s="13">
        <f t="shared" si="1"/>
        <v>3.2</v>
      </c>
      <c r="H26" s="11">
        <f t="shared" si="2"/>
        <v>156.25</v>
      </c>
      <c r="I26" s="13">
        <f t="shared" si="8"/>
        <v>-500</v>
      </c>
      <c r="J26" s="11" t="s">
        <v>19</v>
      </c>
      <c r="K26" s="13">
        <f t="shared" si="5"/>
        <v>5500</v>
      </c>
      <c r="L26" s="14">
        <f t="shared" si="4"/>
        <v>-3.2</v>
      </c>
    </row>
    <row r="27">
      <c r="A27" s="11">
        <v>20.0</v>
      </c>
      <c r="B27" s="11" t="s">
        <v>17</v>
      </c>
      <c r="C27" s="12">
        <v>42326.0</v>
      </c>
      <c r="D27" s="11">
        <v>53.1</v>
      </c>
      <c r="E27" s="11">
        <v>51.75</v>
      </c>
      <c r="F27" s="13">
        <f t="shared" si="6"/>
        <v>55.8</v>
      </c>
      <c r="G27" s="13">
        <f t="shared" si="1"/>
        <v>1.35</v>
      </c>
      <c r="H27" s="11">
        <f t="shared" si="2"/>
        <v>370.3703704</v>
      </c>
      <c r="I27" s="13">
        <f t="shared" ref="I27:I28" si="9">(F27-D27)*H27</f>
        <v>1000</v>
      </c>
      <c r="J27" s="11" t="s">
        <v>18</v>
      </c>
      <c r="K27" s="13">
        <f t="shared" si="5"/>
        <v>6500</v>
      </c>
      <c r="L27" s="14">
        <f t="shared" si="4"/>
        <v>2.7</v>
      </c>
    </row>
    <row r="28">
      <c r="A28" s="11">
        <v>21.0</v>
      </c>
      <c r="B28" s="11" t="s">
        <v>17</v>
      </c>
      <c r="C28" s="12">
        <v>42353.0</v>
      </c>
      <c r="D28" s="11">
        <v>56.25</v>
      </c>
      <c r="E28" s="11">
        <v>54.3</v>
      </c>
      <c r="F28" s="13">
        <f t="shared" si="6"/>
        <v>60.15</v>
      </c>
      <c r="G28" s="13">
        <f t="shared" si="1"/>
        <v>1.95</v>
      </c>
      <c r="H28" s="11">
        <f t="shared" si="2"/>
        <v>256.4102564</v>
      </c>
      <c r="I28" s="13">
        <f t="shared" si="9"/>
        <v>1000</v>
      </c>
      <c r="J28" s="11" t="s">
        <v>18</v>
      </c>
      <c r="K28" s="13">
        <f t="shared" si="5"/>
        <v>7500</v>
      </c>
      <c r="L28" s="14">
        <f t="shared" si="4"/>
        <v>3.9</v>
      </c>
    </row>
    <row r="29">
      <c r="A29" s="11">
        <v>22.0</v>
      </c>
      <c r="B29" s="11" t="s">
        <v>17</v>
      </c>
      <c r="C29" s="12">
        <v>42394.0</v>
      </c>
      <c r="D29" s="11">
        <v>59.5</v>
      </c>
      <c r="E29" s="11">
        <v>58.24</v>
      </c>
      <c r="F29" s="13">
        <f t="shared" si="6"/>
        <v>62.02</v>
      </c>
      <c r="G29" s="13">
        <f t="shared" si="1"/>
        <v>1.26</v>
      </c>
      <c r="H29" s="11">
        <f t="shared" si="2"/>
        <v>396.8253968</v>
      </c>
      <c r="I29" s="13">
        <f t="shared" ref="I29:I33" si="10">-(D29-E29)*H29</f>
        <v>-500</v>
      </c>
      <c r="J29" s="11" t="s">
        <v>19</v>
      </c>
      <c r="K29" s="13">
        <f t="shared" si="5"/>
        <v>7000</v>
      </c>
      <c r="L29" s="14">
        <f t="shared" si="4"/>
        <v>-1.26</v>
      </c>
    </row>
    <row r="30">
      <c r="A30" s="11">
        <v>23.0</v>
      </c>
      <c r="B30" s="11" t="s">
        <v>17</v>
      </c>
      <c r="C30" s="12">
        <v>42398.0</v>
      </c>
      <c r="D30" s="11">
        <v>59.7</v>
      </c>
      <c r="E30" s="11">
        <v>57.56</v>
      </c>
      <c r="F30" s="13">
        <f t="shared" si="6"/>
        <v>63.98</v>
      </c>
      <c r="G30" s="13">
        <f t="shared" si="1"/>
        <v>2.14</v>
      </c>
      <c r="H30" s="11">
        <f t="shared" si="2"/>
        <v>233.6448598</v>
      </c>
      <c r="I30" s="13">
        <f t="shared" si="10"/>
        <v>-500</v>
      </c>
      <c r="J30" s="11" t="s">
        <v>19</v>
      </c>
      <c r="K30" s="13">
        <f t="shared" si="5"/>
        <v>6500</v>
      </c>
      <c r="L30" s="14">
        <f t="shared" si="4"/>
        <v>-2.14</v>
      </c>
    </row>
    <row r="31">
      <c r="A31" s="11">
        <v>24.0</v>
      </c>
      <c r="B31" s="11" t="s">
        <v>17</v>
      </c>
      <c r="C31" s="12">
        <v>42403.0</v>
      </c>
      <c r="D31" s="11">
        <v>64.9</v>
      </c>
      <c r="E31" s="11">
        <v>56.01</v>
      </c>
      <c r="F31" s="13">
        <f t="shared" si="6"/>
        <v>82.68</v>
      </c>
      <c r="G31" s="13">
        <f t="shared" si="1"/>
        <v>8.89</v>
      </c>
      <c r="H31" s="11">
        <f t="shared" si="2"/>
        <v>56.24296963</v>
      </c>
      <c r="I31" s="13">
        <f t="shared" si="10"/>
        <v>-500</v>
      </c>
      <c r="J31" s="11" t="s">
        <v>19</v>
      </c>
      <c r="K31" s="13">
        <f t="shared" si="5"/>
        <v>6000</v>
      </c>
      <c r="L31" s="14">
        <f t="shared" si="4"/>
        <v>-8.89</v>
      </c>
    </row>
    <row r="32">
      <c r="A32" s="11">
        <v>25.0</v>
      </c>
      <c r="B32" s="11" t="s">
        <v>17</v>
      </c>
      <c r="C32" s="12">
        <v>42415.0</v>
      </c>
      <c r="D32" s="11">
        <v>63.0</v>
      </c>
      <c r="E32" s="11">
        <v>61.17</v>
      </c>
      <c r="F32" s="13">
        <f t="shared" si="6"/>
        <v>66.66</v>
      </c>
      <c r="G32" s="13">
        <f t="shared" si="1"/>
        <v>1.83</v>
      </c>
      <c r="H32" s="11">
        <f t="shared" si="2"/>
        <v>273.2240437</v>
      </c>
      <c r="I32" s="13">
        <f t="shared" si="10"/>
        <v>-500</v>
      </c>
      <c r="J32" s="11" t="s">
        <v>19</v>
      </c>
      <c r="K32" s="13">
        <f t="shared" si="5"/>
        <v>5500</v>
      </c>
      <c r="L32" s="14">
        <f t="shared" si="4"/>
        <v>-1.83</v>
      </c>
    </row>
    <row r="33">
      <c r="A33" s="11">
        <v>26.0</v>
      </c>
      <c r="B33" s="11" t="s">
        <v>17</v>
      </c>
      <c r="C33" s="12">
        <v>42418.0</v>
      </c>
      <c r="D33" s="11">
        <v>62.35</v>
      </c>
      <c r="E33" s="11">
        <v>61.05</v>
      </c>
      <c r="F33" s="13">
        <f t="shared" si="6"/>
        <v>64.95</v>
      </c>
      <c r="G33" s="13">
        <f t="shared" si="1"/>
        <v>1.3</v>
      </c>
      <c r="H33" s="11">
        <f t="shared" si="2"/>
        <v>384.6153846</v>
      </c>
      <c r="I33" s="13">
        <f t="shared" si="10"/>
        <v>-500</v>
      </c>
      <c r="J33" s="11" t="s">
        <v>19</v>
      </c>
      <c r="K33" s="13">
        <f t="shared" si="5"/>
        <v>5000</v>
      </c>
      <c r="L33" s="14">
        <f t="shared" si="4"/>
        <v>-1.3</v>
      </c>
    </row>
    <row r="34">
      <c r="A34" s="11">
        <v>27.0</v>
      </c>
      <c r="B34" s="11" t="s">
        <v>17</v>
      </c>
      <c r="C34" s="12">
        <v>42430.0</v>
      </c>
      <c r="D34" s="11">
        <v>62.6</v>
      </c>
      <c r="E34" s="11">
        <v>59.6</v>
      </c>
      <c r="F34" s="13">
        <f t="shared" si="6"/>
        <v>68.6</v>
      </c>
      <c r="G34" s="13">
        <f t="shared" si="1"/>
        <v>3</v>
      </c>
      <c r="H34" s="11">
        <f t="shared" si="2"/>
        <v>166.6666667</v>
      </c>
      <c r="I34" s="13">
        <f>(F34-D34)*H34</f>
        <v>1000</v>
      </c>
      <c r="J34" s="11" t="s">
        <v>18</v>
      </c>
      <c r="K34" s="13">
        <f t="shared" si="5"/>
        <v>6000</v>
      </c>
      <c r="L34" s="14">
        <f t="shared" si="4"/>
        <v>6</v>
      </c>
    </row>
    <row r="35">
      <c r="A35" s="11">
        <v>28.0</v>
      </c>
      <c r="B35" s="11" t="s">
        <v>17</v>
      </c>
      <c r="C35" s="12">
        <v>42486.0</v>
      </c>
      <c r="D35" s="11">
        <v>71.32</v>
      </c>
      <c r="E35" s="11">
        <v>68.4</v>
      </c>
      <c r="F35" s="13">
        <f t="shared" si="6"/>
        <v>77.16</v>
      </c>
      <c r="G35" s="13">
        <f t="shared" si="1"/>
        <v>2.92</v>
      </c>
      <c r="H35" s="11">
        <f t="shared" si="2"/>
        <v>171.2328767</v>
      </c>
      <c r="I35" s="11">
        <v>-500.0</v>
      </c>
      <c r="J35" s="11" t="s">
        <v>19</v>
      </c>
      <c r="K35" s="13">
        <f t="shared" si="5"/>
        <v>5500</v>
      </c>
      <c r="L35" s="14">
        <f t="shared" si="4"/>
        <v>-2.92</v>
      </c>
    </row>
    <row r="36">
      <c r="A36" s="11">
        <v>29.0</v>
      </c>
      <c r="B36" s="11" t="s">
        <v>17</v>
      </c>
      <c r="C36" s="12">
        <v>42488.0</v>
      </c>
      <c r="D36" s="11">
        <v>70.4</v>
      </c>
      <c r="E36" s="11">
        <v>69.25</v>
      </c>
      <c r="F36" s="13">
        <f t="shared" si="6"/>
        <v>72.7</v>
      </c>
      <c r="G36" s="13">
        <f t="shared" si="1"/>
        <v>1.15</v>
      </c>
      <c r="H36" s="11">
        <f t="shared" si="2"/>
        <v>434.7826087</v>
      </c>
      <c r="I36" s="11">
        <v>-500.0</v>
      </c>
      <c r="J36" s="11" t="s">
        <v>19</v>
      </c>
      <c r="K36" s="13">
        <f t="shared" si="5"/>
        <v>5000</v>
      </c>
      <c r="L36" s="14">
        <f t="shared" si="4"/>
        <v>-1.15</v>
      </c>
    </row>
    <row r="37">
      <c r="A37" s="11">
        <v>30.0</v>
      </c>
      <c r="B37" s="11" t="s">
        <v>17</v>
      </c>
      <c r="C37" s="15">
        <v>42492.0</v>
      </c>
      <c r="D37" s="11">
        <v>71.0</v>
      </c>
      <c r="E37" s="11">
        <v>67.5</v>
      </c>
      <c r="F37" s="13">
        <f t="shared" si="6"/>
        <v>78</v>
      </c>
      <c r="G37" s="13">
        <f t="shared" si="1"/>
        <v>3.5</v>
      </c>
      <c r="H37" s="11">
        <f t="shared" si="2"/>
        <v>142.8571429</v>
      </c>
      <c r="I37" s="11">
        <v>-500.0</v>
      </c>
      <c r="J37" s="11" t="s">
        <v>19</v>
      </c>
      <c r="K37" s="13">
        <f t="shared" si="5"/>
        <v>4500</v>
      </c>
      <c r="L37" s="14">
        <f t="shared" si="4"/>
        <v>-3.5</v>
      </c>
    </row>
    <row r="38">
      <c r="A38" s="11">
        <v>31.0</v>
      </c>
      <c r="B38" s="11" t="s">
        <v>17</v>
      </c>
      <c r="C38" s="15">
        <v>42495.0</v>
      </c>
      <c r="D38" s="11">
        <v>71.84</v>
      </c>
      <c r="E38" s="11">
        <v>69.61</v>
      </c>
      <c r="F38" s="13">
        <f t="shared" si="6"/>
        <v>76.3</v>
      </c>
      <c r="G38" s="13">
        <f t="shared" si="1"/>
        <v>2.23</v>
      </c>
      <c r="H38" s="11">
        <f t="shared" si="2"/>
        <v>224.2152466</v>
      </c>
      <c r="I38" s="13">
        <f t="shared" ref="I38:I39" si="11">(F38-D38)*H38</f>
        <v>1000</v>
      </c>
      <c r="J38" s="11" t="s">
        <v>18</v>
      </c>
      <c r="K38" s="13">
        <f t="shared" si="5"/>
        <v>5500</v>
      </c>
      <c r="L38" s="14">
        <f t="shared" si="4"/>
        <v>4.46</v>
      </c>
    </row>
    <row r="39">
      <c r="A39" s="11">
        <v>32.0</v>
      </c>
      <c r="B39" s="11" t="s">
        <v>17</v>
      </c>
      <c r="C39" s="15">
        <v>42516.0</v>
      </c>
      <c r="D39" s="11">
        <v>75.2</v>
      </c>
      <c r="E39" s="11">
        <v>73.8</v>
      </c>
      <c r="F39" s="13">
        <f t="shared" si="6"/>
        <v>78</v>
      </c>
      <c r="G39" s="13">
        <f t="shared" si="1"/>
        <v>1.4</v>
      </c>
      <c r="H39" s="11">
        <f t="shared" si="2"/>
        <v>357.1428571</v>
      </c>
      <c r="I39" s="13">
        <f t="shared" si="11"/>
        <v>1000</v>
      </c>
      <c r="J39" s="11" t="s">
        <v>18</v>
      </c>
      <c r="K39" s="13">
        <f t="shared" si="5"/>
        <v>6500</v>
      </c>
      <c r="L39" s="14">
        <f t="shared" si="4"/>
        <v>2.8</v>
      </c>
    </row>
    <row r="40">
      <c r="A40" s="11">
        <v>33.0</v>
      </c>
      <c r="B40" s="11" t="s">
        <v>17</v>
      </c>
      <c r="C40" s="12">
        <v>42536.0</v>
      </c>
      <c r="D40" s="11">
        <v>76.88</v>
      </c>
      <c r="E40" s="11">
        <v>74.9</v>
      </c>
      <c r="F40" s="13">
        <f t="shared" si="6"/>
        <v>80.84</v>
      </c>
      <c r="G40" s="13">
        <f t="shared" si="1"/>
        <v>1.98</v>
      </c>
      <c r="H40" s="11">
        <f t="shared" si="2"/>
        <v>252.5252525</v>
      </c>
      <c r="I40" s="13">
        <f t="shared" ref="I40:I41" si="12">-(D40-E40)*H40</f>
        <v>-500</v>
      </c>
      <c r="J40" s="11" t="s">
        <v>19</v>
      </c>
      <c r="K40" s="13">
        <f t="shared" si="5"/>
        <v>6000</v>
      </c>
      <c r="L40" s="14">
        <f t="shared" si="4"/>
        <v>-1.98</v>
      </c>
    </row>
    <row r="41">
      <c r="A41" s="11">
        <v>34.0</v>
      </c>
      <c r="B41" s="11" t="s">
        <v>17</v>
      </c>
      <c r="C41" s="12">
        <v>42542.0</v>
      </c>
      <c r="D41" s="11">
        <v>76.85</v>
      </c>
      <c r="E41" s="11">
        <v>75.25</v>
      </c>
      <c r="F41" s="13">
        <f t="shared" si="6"/>
        <v>80.05</v>
      </c>
      <c r="G41" s="13">
        <f t="shared" si="1"/>
        <v>1.6</v>
      </c>
      <c r="H41" s="11">
        <f t="shared" si="2"/>
        <v>312.5</v>
      </c>
      <c r="I41" s="13">
        <f t="shared" si="12"/>
        <v>-500</v>
      </c>
      <c r="J41" s="11" t="s">
        <v>19</v>
      </c>
      <c r="K41" s="13">
        <f t="shared" si="5"/>
        <v>5500</v>
      </c>
      <c r="L41" s="14">
        <f t="shared" si="4"/>
        <v>-1.6</v>
      </c>
    </row>
    <row r="42">
      <c r="A42" s="11">
        <v>35.0</v>
      </c>
      <c r="B42" s="11" t="s">
        <v>17</v>
      </c>
      <c r="C42" s="12">
        <v>42548.0</v>
      </c>
      <c r="D42" s="11">
        <v>77.12</v>
      </c>
      <c r="E42" s="11">
        <v>75.32</v>
      </c>
      <c r="F42" s="13">
        <f t="shared" si="6"/>
        <v>80.72</v>
      </c>
      <c r="G42" s="13">
        <f t="shared" si="1"/>
        <v>1.8</v>
      </c>
      <c r="H42" s="11">
        <f t="shared" si="2"/>
        <v>277.7777778</v>
      </c>
      <c r="I42" s="13">
        <f>(F42-D42)*H42</f>
        <v>1000</v>
      </c>
      <c r="J42" s="11" t="s">
        <v>18</v>
      </c>
      <c r="K42" s="13">
        <f t="shared" si="5"/>
        <v>6500</v>
      </c>
      <c r="L42" s="14">
        <f t="shared" si="4"/>
        <v>3.6</v>
      </c>
    </row>
    <row r="43">
      <c r="A43" s="11">
        <v>36.0</v>
      </c>
      <c r="B43" s="11" t="s">
        <v>17</v>
      </c>
      <c r="C43" s="11" t="s">
        <v>51</v>
      </c>
      <c r="D43" s="11">
        <v>113.22</v>
      </c>
      <c r="E43" s="11">
        <v>107.08</v>
      </c>
      <c r="F43" s="13">
        <f t="shared" si="6"/>
        <v>125.5</v>
      </c>
      <c r="G43" s="13">
        <f t="shared" si="1"/>
        <v>6.14</v>
      </c>
      <c r="H43" s="11">
        <f t="shared" si="2"/>
        <v>81.43322476</v>
      </c>
      <c r="I43" s="11">
        <v>-500.0</v>
      </c>
      <c r="J43" s="11" t="s">
        <v>19</v>
      </c>
      <c r="K43" s="13">
        <f t="shared" si="5"/>
        <v>6000</v>
      </c>
      <c r="L43" s="14">
        <f t="shared" si="4"/>
        <v>-6.14</v>
      </c>
    </row>
    <row r="44">
      <c r="A44" s="11">
        <v>37.0</v>
      </c>
      <c r="B44" s="11" t="s">
        <v>17</v>
      </c>
      <c r="C44" s="12">
        <v>42646.0</v>
      </c>
      <c r="D44" s="11">
        <v>109.0</v>
      </c>
      <c r="E44" s="11">
        <v>106.83</v>
      </c>
      <c r="F44" s="13">
        <f t="shared" si="6"/>
        <v>113.34</v>
      </c>
      <c r="G44" s="13">
        <f t="shared" si="1"/>
        <v>2.17</v>
      </c>
      <c r="H44" s="11">
        <f t="shared" si="2"/>
        <v>230.4147465</v>
      </c>
      <c r="I44" s="11">
        <v>-500.0</v>
      </c>
      <c r="J44" s="11" t="s">
        <v>19</v>
      </c>
      <c r="K44" s="13">
        <f t="shared" si="5"/>
        <v>5500</v>
      </c>
      <c r="L44" s="14">
        <f t="shared" si="4"/>
        <v>-2.17</v>
      </c>
    </row>
    <row r="45">
      <c r="A45" s="11">
        <v>38.0</v>
      </c>
      <c r="B45" s="11" t="s">
        <v>17</v>
      </c>
      <c r="C45" s="12">
        <v>42660.0</v>
      </c>
      <c r="D45" s="11">
        <v>108.5</v>
      </c>
      <c r="E45" s="11">
        <v>105.11</v>
      </c>
      <c r="F45" s="13">
        <f t="shared" si="6"/>
        <v>115.28</v>
      </c>
      <c r="G45" s="13">
        <f t="shared" si="1"/>
        <v>3.39</v>
      </c>
      <c r="H45" s="11">
        <f t="shared" si="2"/>
        <v>147.4926254</v>
      </c>
      <c r="I45" s="13">
        <f t="shared" ref="I45:I46" si="13">(F45-D45)*H45</f>
        <v>1000</v>
      </c>
      <c r="J45" s="11" t="s">
        <v>18</v>
      </c>
      <c r="K45" s="13">
        <f t="shared" si="5"/>
        <v>6500</v>
      </c>
      <c r="L45" s="14">
        <f t="shared" si="4"/>
        <v>6.78</v>
      </c>
    </row>
    <row r="46">
      <c r="A46" s="11">
        <v>39.0</v>
      </c>
      <c r="B46" s="11" t="s">
        <v>17</v>
      </c>
      <c r="C46" s="12">
        <v>42802.0</v>
      </c>
      <c r="D46" s="11">
        <v>108.4</v>
      </c>
      <c r="E46" s="11">
        <v>104.9</v>
      </c>
      <c r="F46" s="13">
        <f t="shared" si="6"/>
        <v>115.4</v>
      </c>
      <c r="G46" s="13">
        <f t="shared" si="1"/>
        <v>3.5</v>
      </c>
      <c r="H46" s="11">
        <f t="shared" si="2"/>
        <v>142.8571429</v>
      </c>
      <c r="I46" s="13">
        <f t="shared" si="13"/>
        <v>1000</v>
      </c>
      <c r="J46" s="11" t="s">
        <v>18</v>
      </c>
      <c r="K46" s="13">
        <f t="shared" si="5"/>
        <v>7500</v>
      </c>
      <c r="L46" s="14">
        <f t="shared" si="4"/>
        <v>7</v>
      </c>
    </row>
    <row r="47">
      <c r="A47" s="11">
        <v>40.0</v>
      </c>
      <c r="B47" s="11" t="s">
        <v>17</v>
      </c>
      <c r="C47" s="15">
        <v>42881.0</v>
      </c>
      <c r="D47" s="11">
        <v>132.67</v>
      </c>
      <c r="E47" s="11">
        <v>126.17</v>
      </c>
      <c r="F47" s="13">
        <f t="shared" si="6"/>
        <v>145.67</v>
      </c>
      <c r="G47" s="13">
        <f t="shared" si="1"/>
        <v>6.5</v>
      </c>
      <c r="H47" s="11">
        <f t="shared" si="2"/>
        <v>76.92307692</v>
      </c>
      <c r="I47" s="13">
        <f>-(D47-E47)*H47</f>
        <v>-500</v>
      </c>
      <c r="J47" s="11" t="s">
        <v>19</v>
      </c>
      <c r="K47" s="13">
        <f t="shared" si="5"/>
        <v>7000</v>
      </c>
      <c r="L47" s="14">
        <f t="shared" si="4"/>
        <v>-6.5</v>
      </c>
    </row>
    <row r="48">
      <c r="A48" s="11">
        <v>41.0</v>
      </c>
      <c r="B48" s="11" t="s">
        <v>17</v>
      </c>
      <c r="C48" s="12">
        <v>42914.0</v>
      </c>
      <c r="D48" s="11">
        <v>137.7</v>
      </c>
      <c r="E48" s="11">
        <v>131.39</v>
      </c>
      <c r="F48" s="13">
        <f t="shared" si="6"/>
        <v>150.32</v>
      </c>
      <c r="G48" s="13">
        <f t="shared" si="1"/>
        <v>6.31</v>
      </c>
      <c r="H48" s="11">
        <f t="shared" si="2"/>
        <v>79.23930269</v>
      </c>
      <c r="I48" s="13">
        <f>(F48-D48)*H48</f>
        <v>1000</v>
      </c>
      <c r="J48" s="11" t="s">
        <v>18</v>
      </c>
      <c r="K48" s="13">
        <f t="shared" si="5"/>
        <v>8000</v>
      </c>
      <c r="L48" s="14">
        <f t="shared" si="4"/>
        <v>12.62</v>
      </c>
    </row>
    <row r="49">
      <c r="A49" s="11">
        <v>42.0</v>
      </c>
      <c r="B49" s="11" t="s">
        <v>17</v>
      </c>
      <c r="C49" s="12">
        <v>42958.0</v>
      </c>
      <c r="D49" s="11">
        <v>173.26</v>
      </c>
      <c r="E49" s="11">
        <v>159.0</v>
      </c>
      <c r="F49" s="13">
        <f t="shared" si="6"/>
        <v>201.78</v>
      </c>
      <c r="G49" s="13">
        <f t="shared" si="1"/>
        <v>14.26</v>
      </c>
      <c r="H49" s="11">
        <f t="shared" si="2"/>
        <v>35.0631136</v>
      </c>
      <c r="I49" s="13">
        <f>-(D49-E49)*H49</f>
        <v>-500</v>
      </c>
      <c r="J49" s="11" t="s">
        <v>19</v>
      </c>
      <c r="K49" s="13">
        <f t="shared" si="5"/>
        <v>7500</v>
      </c>
      <c r="L49" s="14">
        <f t="shared" si="4"/>
        <v>-14.26</v>
      </c>
    </row>
    <row r="50">
      <c r="A50" s="11">
        <v>43.0</v>
      </c>
      <c r="B50" s="11" t="s">
        <v>17</v>
      </c>
      <c r="C50" s="12">
        <v>43011.0</v>
      </c>
      <c r="D50" s="11">
        <v>187.35</v>
      </c>
      <c r="E50" s="11">
        <v>183.17</v>
      </c>
      <c r="F50" s="13">
        <f t="shared" si="6"/>
        <v>195.71</v>
      </c>
      <c r="G50" s="13">
        <f t="shared" si="1"/>
        <v>4.18</v>
      </c>
      <c r="H50" s="11">
        <f t="shared" si="2"/>
        <v>119.6172249</v>
      </c>
      <c r="I50" s="13">
        <f>(F50-D50)*H50</f>
        <v>1000</v>
      </c>
      <c r="J50" s="11" t="s">
        <v>18</v>
      </c>
      <c r="K50" s="13">
        <f t="shared" si="5"/>
        <v>8500</v>
      </c>
      <c r="L50" s="14">
        <f t="shared" si="4"/>
        <v>8.36</v>
      </c>
    </row>
    <row r="51">
      <c r="A51" s="11">
        <v>44.0</v>
      </c>
      <c r="B51" s="11" t="s">
        <v>17</v>
      </c>
      <c r="C51" s="12">
        <v>43042.0</v>
      </c>
      <c r="D51" s="11">
        <v>184.5</v>
      </c>
      <c r="E51" s="11">
        <v>180.84</v>
      </c>
      <c r="F51" s="13">
        <f t="shared" si="6"/>
        <v>191.82</v>
      </c>
      <c r="G51" s="13">
        <f t="shared" si="1"/>
        <v>3.66</v>
      </c>
      <c r="H51" s="11">
        <f t="shared" si="2"/>
        <v>136.6120219</v>
      </c>
      <c r="I51" s="13">
        <f t="shared" ref="I51:I56" si="14">-(D51-E51)*H51</f>
        <v>-500</v>
      </c>
      <c r="J51" s="11" t="s">
        <v>19</v>
      </c>
      <c r="K51" s="13">
        <f t="shared" si="5"/>
        <v>8000</v>
      </c>
      <c r="L51" s="14">
        <f t="shared" si="4"/>
        <v>-3.66</v>
      </c>
    </row>
    <row r="52">
      <c r="A52" s="11">
        <v>45.0</v>
      </c>
      <c r="B52" s="11" t="s">
        <v>17</v>
      </c>
      <c r="C52" s="12">
        <v>43059.0</v>
      </c>
      <c r="D52" s="11">
        <v>180.75</v>
      </c>
      <c r="E52" s="11">
        <v>177.01</v>
      </c>
      <c r="F52" s="13">
        <f t="shared" si="6"/>
        <v>188.23</v>
      </c>
      <c r="G52" s="13">
        <f t="shared" si="1"/>
        <v>3.74</v>
      </c>
      <c r="H52" s="11">
        <f t="shared" si="2"/>
        <v>133.6898396</v>
      </c>
      <c r="I52" s="13">
        <f t="shared" si="14"/>
        <v>-500</v>
      </c>
      <c r="J52" s="11" t="s">
        <v>19</v>
      </c>
      <c r="K52" s="13">
        <f t="shared" si="5"/>
        <v>7500</v>
      </c>
      <c r="L52" s="14">
        <f t="shared" si="4"/>
        <v>-3.74</v>
      </c>
    </row>
    <row r="53">
      <c r="A53" s="11">
        <v>46.0</v>
      </c>
      <c r="B53" s="11" t="s">
        <v>17</v>
      </c>
      <c r="C53" s="12">
        <v>43063.0</v>
      </c>
      <c r="D53" s="11">
        <v>179.83</v>
      </c>
      <c r="E53" s="11">
        <v>176.4</v>
      </c>
      <c r="F53" s="13">
        <f t="shared" si="6"/>
        <v>186.69</v>
      </c>
      <c r="G53" s="13">
        <f t="shared" si="1"/>
        <v>3.43</v>
      </c>
      <c r="H53" s="11">
        <f t="shared" si="2"/>
        <v>145.7725948</v>
      </c>
      <c r="I53" s="13">
        <f t="shared" si="14"/>
        <v>-500</v>
      </c>
      <c r="J53" s="11" t="s">
        <v>19</v>
      </c>
      <c r="K53" s="13">
        <f t="shared" si="5"/>
        <v>7000</v>
      </c>
      <c r="L53" s="14">
        <f t="shared" si="4"/>
        <v>-3.43</v>
      </c>
    </row>
    <row r="54">
      <c r="A54" s="11">
        <v>47.0</v>
      </c>
      <c r="B54" s="11" t="s">
        <v>17</v>
      </c>
      <c r="C54" s="12">
        <v>43087.0</v>
      </c>
      <c r="D54" s="11">
        <v>177.3</v>
      </c>
      <c r="E54" s="11">
        <v>165.32</v>
      </c>
      <c r="F54" s="13">
        <f t="shared" si="6"/>
        <v>201.26</v>
      </c>
      <c r="G54" s="13">
        <f t="shared" si="1"/>
        <v>11.98</v>
      </c>
      <c r="H54" s="11">
        <f t="shared" si="2"/>
        <v>41.73622705</v>
      </c>
      <c r="I54" s="13">
        <f t="shared" si="14"/>
        <v>-500</v>
      </c>
      <c r="J54" s="11" t="s">
        <v>19</v>
      </c>
      <c r="K54" s="13">
        <f t="shared" si="5"/>
        <v>6500</v>
      </c>
      <c r="L54" s="14">
        <f t="shared" si="4"/>
        <v>-11.98</v>
      </c>
    </row>
    <row r="55">
      <c r="A55" s="11">
        <v>48.0</v>
      </c>
      <c r="B55" s="11" t="s">
        <v>17</v>
      </c>
      <c r="C55" s="12">
        <v>43104.0</v>
      </c>
      <c r="D55" s="11">
        <v>175.83</v>
      </c>
      <c r="E55" s="11">
        <v>171.4</v>
      </c>
      <c r="F55" s="13">
        <f t="shared" si="6"/>
        <v>184.69</v>
      </c>
      <c r="G55" s="13">
        <f t="shared" si="1"/>
        <v>4.43</v>
      </c>
      <c r="H55" s="11">
        <f t="shared" si="2"/>
        <v>112.8668172</v>
      </c>
      <c r="I55" s="13">
        <f t="shared" si="14"/>
        <v>-500</v>
      </c>
      <c r="J55" s="11" t="s">
        <v>19</v>
      </c>
      <c r="K55" s="13">
        <f t="shared" si="5"/>
        <v>6000</v>
      </c>
      <c r="L55" s="14">
        <f t="shared" si="4"/>
        <v>-4.43</v>
      </c>
    </row>
    <row r="56">
      <c r="A56" s="11">
        <v>49.0</v>
      </c>
      <c r="B56" s="11" t="s">
        <v>17</v>
      </c>
      <c r="C56" s="15">
        <v>43227.0</v>
      </c>
      <c r="D56" s="11">
        <v>190.2</v>
      </c>
      <c r="E56" s="11">
        <v>185.61</v>
      </c>
      <c r="F56" s="13">
        <f t="shared" si="6"/>
        <v>199.38</v>
      </c>
      <c r="G56" s="13">
        <f t="shared" si="1"/>
        <v>4.59</v>
      </c>
      <c r="H56" s="11">
        <f t="shared" si="2"/>
        <v>108.9324619</v>
      </c>
      <c r="I56" s="13">
        <f t="shared" si="14"/>
        <v>-500</v>
      </c>
      <c r="J56" s="11" t="s">
        <v>19</v>
      </c>
      <c r="K56" s="13">
        <f t="shared" si="5"/>
        <v>5500</v>
      </c>
      <c r="L56" s="14">
        <f t="shared" si="4"/>
        <v>-4.59</v>
      </c>
    </row>
    <row r="57">
      <c r="A57" s="11">
        <v>50.0</v>
      </c>
      <c r="B57" s="11" t="s">
        <v>17</v>
      </c>
      <c r="C57" s="15">
        <v>43235.0</v>
      </c>
      <c r="D57" s="11">
        <v>193.35</v>
      </c>
      <c r="E57" s="11">
        <v>185.45</v>
      </c>
      <c r="F57" s="13">
        <f t="shared" si="6"/>
        <v>209.15</v>
      </c>
      <c r="G57" s="13">
        <f t="shared" si="1"/>
        <v>7.9</v>
      </c>
      <c r="H57" s="11">
        <f t="shared" si="2"/>
        <v>63.29113924</v>
      </c>
      <c r="I57" s="13">
        <f t="shared" ref="I57:I58" si="15">(F57-D57)*H57</f>
        <v>1000</v>
      </c>
      <c r="J57" s="11" t="s">
        <v>18</v>
      </c>
      <c r="K57" s="13">
        <f t="shared" si="5"/>
        <v>6500</v>
      </c>
      <c r="L57" s="14">
        <f t="shared" si="4"/>
        <v>15.8</v>
      </c>
    </row>
    <row r="58">
      <c r="A58" s="11">
        <v>51.0</v>
      </c>
      <c r="B58" s="11" t="s">
        <v>17</v>
      </c>
      <c r="C58" s="12">
        <v>43419.0</v>
      </c>
      <c r="D58" s="11">
        <v>234.8</v>
      </c>
      <c r="E58" s="11">
        <v>228.51</v>
      </c>
      <c r="F58" s="13">
        <f t="shared" si="6"/>
        <v>247.38</v>
      </c>
      <c r="G58" s="13">
        <f t="shared" si="1"/>
        <v>6.29</v>
      </c>
      <c r="H58" s="11">
        <f t="shared" si="2"/>
        <v>79.49125596</v>
      </c>
      <c r="I58" s="13">
        <f t="shared" si="15"/>
        <v>1000</v>
      </c>
      <c r="J58" s="11" t="s">
        <v>18</v>
      </c>
      <c r="K58" s="13">
        <f t="shared" si="5"/>
        <v>7500</v>
      </c>
      <c r="L58" s="14">
        <f t="shared" si="4"/>
        <v>12.58</v>
      </c>
    </row>
    <row r="59">
      <c r="A59" s="11">
        <v>52.0</v>
      </c>
      <c r="B59" s="11" t="s">
        <v>17</v>
      </c>
      <c r="C59" s="12">
        <v>44126.0</v>
      </c>
      <c r="D59" s="11">
        <v>334.0</v>
      </c>
      <c r="E59" s="11">
        <v>315.0</v>
      </c>
      <c r="F59" s="11">
        <v>372.0</v>
      </c>
      <c r="G59" s="13">
        <f t="shared" si="1"/>
        <v>19</v>
      </c>
      <c r="H59" s="11">
        <f t="shared" si="2"/>
        <v>26.31578947</v>
      </c>
      <c r="I59" s="13">
        <f t="shared" ref="I59:I60" si="16">-(D59-E59)*H59</f>
        <v>-500</v>
      </c>
      <c r="J59" s="11" t="s">
        <v>19</v>
      </c>
      <c r="K59" s="13">
        <f t="shared" si="5"/>
        <v>7000</v>
      </c>
      <c r="L59" s="14">
        <f t="shared" si="4"/>
        <v>-19</v>
      </c>
    </row>
    <row r="60">
      <c r="A60" s="11">
        <v>53.0</v>
      </c>
      <c r="B60" s="11" t="s">
        <v>17</v>
      </c>
      <c r="C60" s="12">
        <v>44131.0</v>
      </c>
      <c r="D60" s="11">
        <v>346.0</v>
      </c>
      <c r="E60" s="11">
        <v>327.0</v>
      </c>
      <c r="F60" s="11">
        <v>392.0</v>
      </c>
      <c r="G60" s="13">
        <f t="shared" si="1"/>
        <v>19</v>
      </c>
      <c r="H60" s="11">
        <f t="shared" si="2"/>
        <v>26.31578947</v>
      </c>
      <c r="I60" s="13">
        <f t="shared" si="16"/>
        <v>-500</v>
      </c>
      <c r="J60" s="11" t="s">
        <v>19</v>
      </c>
      <c r="K60" s="13">
        <f t="shared" si="5"/>
        <v>6500</v>
      </c>
      <c r="L60" s="14">
        <f t="shared" si="4"/>
        <v>-19</v>
      </c>
    </row>
    <row r="61">
      <c r="A61" s="11">
        <v>54.0</v>
      </c>
      <c r="B61" s="11" t="s">
        <v>17</v>
      </c>
      <c r="C61" s="12">
        <v>44137.0</v>
      </c>
      <c r="D61" s="11">
        <v>344.0</v>
      </c>
      <c r="E61" s="11">
        <v>327.0</v>
      </c>
      <c r="F61" s="11">
        <v>390.0</v>
      </c>
      <c r="G61" s="13">
        <f t="shared" si="1"/>
        <v>17</v>
      </c>
      <c r="H61" s="11">
        <f t="shared" si="2"/>
        <v>29.41176471</v>
      </c>
      <c r="I61" s="11">
        <v>1353.0</v>
      </c>
      <c r="J61" s="11" t="s">
        <v>18</v>
      </c>
      <c r="K61" s="13">
        <f t="shared" si="5"/>
        <v>7853</v>
      </c>
      <c r="L61" s="14">
        <f t="shared" si="4"/>
        <v>46.002</v>
      </c>
    </row>
    <row r="62">
      <c r="A62" s="11">
        <v>55.0</v>
      </c>
      <c r="B62" s="11" t="s">
        <v>17</v>
      </c>
      <c r="C62" s="12">
        <v>44203.0</v>
      </c>
      <c r="D62" s="11">
        <v>513.0</v>
      </c>
      <c r="E62" s="11">
        <v>502.0</v>
      </c>
      <c r="F62" s="11">
        <v>547.0</v>
      </c>
      <c r="G62" s="13">
        <f t="shared" si="1"/>
        <v>11</v>
      </c>
      <c r="H62" s="11">
        <f t="shared" si="2"/>
        <v>45.45454545</v>
      </c>
      <c r="I62" s="11">
        <f t="shared" ref="I62:I63" si="17">-(D62-E62)*H62</f>
        <v>-500</v>
      </c>
      <c r="J62" s="11" t="s">
        <v>19</v>
      </c>
      <c r="K62" s="13">
        <f t="shared" si="5"/>
        <v>7353</v>
      </c>
      <c r="L62" s="14">
        <f t="shared" si="4"/>
        <v>-11</v>
      </c>
    </row>
    <row r="63">
      <c r="A63" s="11">
        <v>56.0</v>
      </c>
      <c r="B63" s="11" t="s">
        <v>17</v>
      </c>
      <c r="C63" s="12">
        <v>44217.0</v>
      </c>
      <c r="D63" s="11">
        <v>522.0</v>
      </c>
      <c r="E63" s="11">
        <v>499.0</v>
      </c>
      <c r="F63" s="11">
        <v>570.0</v>
      </c>
      <c r="G63" s="13">
        <f t="shared" si="1"/>
        <v>23</v>
      </c>
      <c r="H63" s="11">
        <f t="shared" si="2"/>
        <v>21.73913043</v>
      </c>
      <c r="I63" s="11">
        <f t="shared" si="17"/>
        <v>-500</v>
      </c>
      <c r="J63" s="11" t="s">
        <v>19</v>
      </c>
      <c r="K63" s="13">
        <f t="shared" si="5"/>
        <v>6853</v>
      </c>
      <c r="L63" s="14">
        <f t="shared" si="4"/>
        <v>-23</v>
      </c>
    </row>
    <row r="64">
      <c r="A64" s="11">
        <v>57.0</v>
      </c>
      <c r="B64" s="11" t="s">
        <v>17</v>
      </c>
      <c r="C64" s="15">
        <v>44228.0</v>
      </c>
      <c r="D64" s="11">
        <v>508.0</v>
      </c>
      <c r="E64" s="11">
        <v>466.0</v>
      </c>
      <c r="F64" s="11">
        <v>582.0</v>
      </c>
      <c r="G64" s="13">
        <f t="shared" si="1"/>
        <v>42</v>
      </c>
      <c r="H64" s="11">
        <f t="shared" si="2"/>
        <v>11.9047619</v>
      </c>
      <c r="I64" s="11">
        <v>881.0</v>
      </c>
      <c r="J64" s="11" t="s">
        <v>18</v>
      </c>
      <c r="K64" s="13">
        <f t="shared" si="5"/>
        <v>7734</v>
      </c>
      <c r="L64" s="14">
        <f t="shared" si="4"/>
        <v>74.004</v>
      </c>
    </row>
    <row r="65">
      <c r="A65" s="11">
        <v>58.0</v>
      </c>
      <c r="B65" s="11" t="s">
        <v>17</v>
      </c>
      <c r="C65" s="30">
        <v>44251.0</v>
      </c>
      <c r="D65" s="11">
        <v>557.0</v>
      </c>
      <c r="E65" s="11">
        <v>538.0</v>
      </c>
      <c r="F65" s="11">
        <v>591.0</v>
      </c>
      <c r="G65" s="13">
        <f t="shared" si="1"/>
        <v>19</v>
      </c>
      <c r="H65" s="11">
        <f t="shared" si="2"/>
        <v>26.31578947</v>
      </c>
      <c r="I65" s="13">
        <f t="shared" ref="I65:I66" si="18">-(D65-E65)*H65</f>
        <v>-500</v>
      </c>
      <c r="J65" s="11" t="s">
        <v>19</v>
      </c>
      <c r="K65" s="13">
        <f t="shared" si="5"/>
        <v>7234</v>
      </c>
      <c r="L65" s="14">
        <f t="shared" si="4"/>
        <v>-19</v>
      </c>
    </row>
    <row r="66">
      <c r="A66" s="11">
        <v>59.0</v>
      </c>
      <c r="B66" s="11" t="s">
        <v>17</v>
      </c>
      <c r="C66" s="12">
        <v>44258.0</v>
      </c>
      <c r="D66" s="11">
        <v>557.0</v>
      </c>
      <c r="E66" s="11">
        <v>534.0</v>
      </c>
      <c r="F66" s="11">
        <v>604.0</v>
      </c>
      <c r="G66" s="13">
        <f t="shared" si="1"/>
        <v>23</v>
      </c>
      <c r="H66" s="11">
        <f t="shared" si="2"/>
        <v>21.73913043</v>
      </c>
      <c r="I66" s="13">
        <f t="shared" si="18"/>
        <v>-500</v>
      </c>
      <c r="J66" s="11" t="s">
        <v>19</v>
      </c>
      <c r="K66" s="13">
        <f t="shared" si="5"/>
        <v>6734</v>
      </c>
      <c r="L66" s="14">
        <f t="shared" si="4"/>
        <v>-23</v>
      </c>
    </row>
    <row r="67">
      <c r="A67" s="11">
        <v>60.0</v>
      </c>
      <c r="B67" s="11" t="s">
        <v>17</v>
      </c>
      <c r="C67" s="12">
        <v>44264.0</v>
      </c>
      <c r="D67" s="11">
        <v>544.0</v>
      </c>
      <c r="E67" s="11">
        <v>533.0</v>
      </c>
      <c r="F67" s="11">
        <v>567.0</v>
      </c>
      <c r="G67" s="13">
        <f t="shared" si="1"/>
        <v>11</v>
      </c>
      <c r="H67" s="11">
        <f t="shared" si="2"/>
        <v>45.45454545</v>
      </c>
      <c r="I67" s="11">
        <v>1045.0</v>
      </c>
      <c r="J67" s="11" t="s">
        <v>18</v>
      </c>
      <c r="K67" s="13">
        <f t="shared" si="5"/>
        <v>7779</v>
      </c>
      <c r="L67" s="14">
        <f t="shared" si="4"/>
        <v>22.99</v>
      </c>
    </row>
    <row r="68">
      <c r="A68" s="11">
        <v>61.0</v>
      </c>
      <c r="B68" s="11" t="s">
        <v>17</v>
      </c>
      <c r="C68" s="12">
        <v>44274.0</v>
      </c>
      <c r="D68" s="11">
        <v>547.0</v>
      </c>
      <c r="E68" s="11">
        <v>519.0</v>
      </c>
      <c r="F68" s="11">
        <v>601.0</v>
      </c>
      <c r="G68" s="13">
        <f t="shared" si="1"/>
        <v>28</v>
      </c>
      <c r="H68" s="11">
        <f t="shared" si="2"/>
        <v>17.85714286</v>
      </c>
      <c r="I68" s="13">
        <f>-(D68-E68)*H68</f>
        <v>-500</v>
      </c>
      <c r="J68" s="11" t="s">
        <v>19</v>
      </c>
      <c r="K68" s="13">
        <f t="shared" si="5"/>
        <v>7279</v>
      </c>
      <c r="L68" s="14">
        <f t="shared" si="4"/>
        <v>-28</v>
      </c>
    </row>
    <row r="69">
      <c r="A69" s="11">
        <v>62.0</v>
      </c>
      <c r="B69" s="11" t="s">
        <v>17</v>
      </c>
      <c r="C69" s="15">
        <v>44313.0</v>
      </c>
      <c r="D69" s="11">
        <v>489.0</v>
      </c>
      <c r="E69" s="11">
        <v>474.0</v>
      </c>
      <c r="F69" s="11">
        <v>519.0</v>
      </c>
      <c r="G69" s="13">
        <f t="shared" si="1"/>
        <v>15</v>
      </c>
      <c r="H69" s="11">
        <f t="shared" si="2"/>
        <v>33.33333333</v>
      </c>
      <c r="I69" s="13">
        <f>(F69-D69)*H69</f>
        <v>1000</v>
      </c>
      <c r="J69" s="11" t="s">
        <v>18</v>
      </c>
      <c r="K69" s="13">
        <f t="shared" si="5"/>
        <v>8279</v>
      </c>
      <c r="L69" s="14">
        <f t="shared" si="4"/>
        <v>30</v>
      </c>
    </row>
    <row r="70">
      <c r="A70" s="11">
        <v>63.0</v>
      </c>
      <c r="B70" s="11" t="s">
        <v>17</v>
      </c>
      <c r="C70" s="12">
        <v>44379.0</v>
      </c>
      <c r="D70" s="11">
        <v>603.0</v>
      </c>
      <c r="E70" s="11">
        <v>596.0</v>
      </c>
      <c r="F70" s="11">
        <v>620.0</v>
      </c>
      <c r="G70" s="13">
        <f t="shared" si="1"/>
        <v>7</v>
      </c>
      <c r="H70" s="11">
        <f t="shared" si="2"/>
        <v>71.42857143</v>
      </c>
      <c r="I70" s="11">
        <v>1215.0</v>
      </c>
      <c r="J70" s="11" t="s">
        <v>18</v>
      </c>
      <c r="K70" s="13">
        <f t="shared" si="5"/>
        <v>9494</v>
      </c>
      <c r="L70" s="14">
        <f t="shared" si="4"/>
        <v>17.01</v>
      </c>
    </row>
    <row r="71">
      <c r="A71" s="11">
        <v>64.0</v>
      </c>
      <c r="B71" s="11" t="s">
        <v>17</v>
      </c>
      <c r="C71" s="12">
        <v>44399.0</v>
      </c>
      <c r="D71" s="11">
        <v>624.0</v>
      </c>
      <c r="E71" s="11">
        <v>592.0</v>
      </c>
      <c r="F71" s="11">
        <v>686.0</v>
      </c>
      <c r="G71" s="13">
        <f t="shared" si="1"/>
        <v>32</v>
      </c>
      <c r="H71" s="11">
        <f t="shared" si="2"/>
        <v>15.625</v>
      </c>
      <c r="I71" s="13">
        <f t="shared" ref="I71:I72" si="19">-(D71-E71)*H71</f>
        <v>-500</v>
      </c>
      <c r="J71" s="11" t="s">
        <v>19</v>
      </c>
      <c r="K71" s="13">
        <f t="shared" si="5"/>
        <v>8994</v>
      </c>
      <c r="L71" s="14">
        <f t="shared" si="4"/>
        <v>-32</v>
      </c>
    </row>
    <row r="72">
      <c r="A72" s="11">
        <v>65.0</v>
      </c>
      <c r="B72" s="11" t="s">
        <v>17</v>
      </c>
      <c r="C72" s="12">
        <v>44420.0</v>
      </c>
      <c r="D72" s="11">
        <v>625.0</v>
      </c>
      <c r="E72" s="11">
        <v>615.0</v>
      </c>
      <c r="F72" s="11">
        <v>645.0</v>
      </c>
      <c r="G72" s="13">
        <f t="shared" si="1"/>
        <v>10</v>
      </c>
      <c r="H72" s="11">
        <f t="shared" si="2"/>
        <v>50</v>
      </c>
      <c r="I72" s="13">
        <f t="shared" si="19"/>
        <v>-500</v>
      </c>
      <c r="J72" s="11" t="s">
        <v>19</v>
      </c>
      <c r="K72" s="13">
        <f t="shared" si="5"/>
        <v>8494</v>
      </c>
      <c r="L72" s="14">
        <f t="shared" si="4"/>
        <v>-10</v>
      </c>
    </row>
    <row r="73">
      <c r="A73" s="11">
        <v>66.0</v>
      </c>
      <c r="B73" s="11" t="s">
        <v>17</v>
      </c>
      <c r="C73" s="12">
        <v>44424.0</v>
      </c>
      <c r="D73" s="11">
        <v>639.0</v>
      </c>
      <c r="E73" s="11">
        <v>610.0</v>
      </c>
      <c r="F73" s="11">
        <v>697.0</v>
      </c>
      <c r="G73" s="13">
        <f t="shared" si="1"/>
        <v>29</v>
      </c>
      <c r="H73" s="11">
        <f t="shared" si="2"/>
        <v>17.24137931</v>
      </c>
      <c r="I73" s="13">
        <f>(F73-D73)*H73</f>
        <v>1000</v>
      </c>
      <c r="J73" s="11" t="s">
        <v>18</v>
      </c>
      <c r="K73" s="13">
        <f t="shared" si="5"/>
        <v>9494</v>
      </c>
      <c r="L73" s="14">
        <f t="shared" si="4"/>
        <v>58</v>
      </c>
    </row>
    <row r="74">
      <c r="A74" s="11">
        <v>67.0</v>
      </c>
      <c r="B74" s="11" t="s">
        <v>17</v>
      </c>
      <c r="C74" s="12">
        <v>44495.0</v>
      </c>
      <c r="D74" s="11">
        <v>789.0</v>
      </c>
      <c r="E74" s="11">
        <v>765.0</v>
      </c>
      <c r="F74" s="11">
        <v>837.0</v>
      </c>
      <c r="G74" s="13">
        <f t="shared" si="1"/>
        <v>24</v>
      </c>
      <c r="H74" s="11">
        <f t="shared" si="2"/>
        <v>20.83333333</v>
      </c>
      <c r="I74" s="13">
        <f t="shared" ref="I74:I77" si="20">-(D74-E74)*H74</f>
        <v>-500</v>
      </c>
      <c r="J74" s="11" t="s">
        <v>19</v>
      </c>
      <c r="K74" s="13">
        <f t="shared" si="5"/>
        <v>8994</v>
      </c>
      <c r="L74" s="14">
        <f t="shared" si="4"/>
        <v>-24</v>
      </c>
    </row>
    <row r="75">
      <c r="A75" s="11">
        <v>68.0</v>
      </c>
      <c r="B75" s="11" t="s">
        <v>17</v>
      </c>
      <c r="C75" s="12">
        <v>44508.0</v>
      </c>
      <c r="D75" s="11">
        <v>771.0</v>
      </c>
      <c r="E75" s="11">
        <v>748.0</v>
      </c>
      <c r="F75" s="11">
        <v>817.0</v>
      </c>
      <c r="G75" s="13">
        <f t="shared" si="1"/>
        <v>23</v>
      </c>
      <c r="H75" s="11">
        <f t="shared" si="2"/>
        <v>21.73913043</v>
      </c>
      <c r="I75" s="13">
        <f t="shared" si="20"/>
        <v>-500</v>
      </c>
      <c r="J75" s="11" t="s">
        <v>19</v>
      </c>
      <c r="K75" s="13">
        <f t="shared" si="5"/>
        <v>8494</v>
      </c>
      <c r="L75" s="14">
        <f t="shared" si="4"/>
        <v>-23</v>
      </c>
    </row>
    <row r="76">
      <c r="A76" s="11">
        <v>69.0</v>
      </c>
      <c r="B76" s="11" t="s">
        <v>17</v>
      </c>
      <c r="C76" s="30">
        <v>44517.0</v>
      </c>
      <c r="D76" s="11">
        <v>769.0</v>
      </c>
      <c r="E76" s="11">
        <v>752.0</v>
      </c>
      <c r="F76" s="11">
        <v>803.0</v>
      </c>
      <c r="G76" s="13">
        <f t="shared" si="1"/>
        <v>17</v>
      </c>
      <c r="H76" s="11">
        <f t="shared" si="2"/>
        <v>29.41176471</v>
      </c>
      <c r="I76" s="13">
        <f t="shared" si="20"/>
        <v>-500</v>
      </c>
      <c r="J76" s="11" t="s">
        <v>19</v>
      </c>
      <c r="K76" s="13">
        <f t="shared" si="5"/>
        <v>7994</v>
      </c>
      <c r="L76" s="14">
        <f t="shared" si="4"/>
        <v>-17</v>
      </c>
    </row>
    <row r="77">
      <c r="A77" s="11">
        <v>70.0</v>
      </c>
      <c r="B77" s="11" t="s">
        <v>17</v>
      </c>
      <c r="C77" s="12">
        <v>44538.0</v>
      </c>
      <c r="D77" s="11">
        <v>738.0</v>
      </c>
      <c r="E77" s="11">
        <v>712.0</v>
      </c>
      <c r="F77" s="11">
        <v>790.0</v>
      </c>
      <c r="G77" s="13">
        <f t="shared" si="1"/>
        <v>26</v>
      </c>
      <c r="H77" s="11">
        <f t="shared" si="2"/>
        <v>19.23076923</v>
      </c>
      <c r="I77" s="13">
        <f t="shared" si="20"/>
        <v>-500</v>
      </c>
      <c r="J77" s="11" t="s">
        <v>19</v>
      </c>
      <c r="K77" s="13">
        <f t="shared" si="5"/>
        <v>7494</v>
      </c>
      <c r="L77" s="14">
        <f t="shared" si="4"/>
        <v>-26</v>
      </c>
    </row>
    <row r="78">
      <c r="A78" s="11">
        <v>71.0</v>
      </c>
      <c r="B78" s="11" t="s">
        <v>17</v>
      </c>
      <c r="C78" s="12">
        <v>44564.0</v>
      </c>
      <c r="D78" s="11">
        <v>724.0</v>
      </c>
      <c r="E78" s="11">
        <v>697.0</v>
      </c>
      <c r="F78" s="11">
        <v>778.0</v>
      </c>
      <c r="G78" s="13">
        <f t="shared" si="1"/>
        <v>27</v>
      </c>
      <c r="H78" s="11">
        <f t="shared" si="2"/>
        <v>18.51851852</v>
      </c>
      <c r="I78" s="13">
        <f>(F78-D78)*H78</f>
        <v>1000</v>
      </c>
      <c r="J78" s="11" t="s">
        <v>18</v>
      </c>
      <c r="K78" s="13">
        <f t="shared" si="5"/>
        <v>8494</v>
      </c>
      <c r="L78" s="14">
        <f t="shared" si="4"/>
        <v>54</v>
      </c>
    </row>
    <row r="79">
      <c r="A79" s="11">
        <v>72.0</v>
      </c>
      <c r="B79" s="11" t="s">
        <v>17</v>
      </c>
      <c r="C79" s="12">
        <v>44803.0</v>
      </c>
      <c r="D79" s="11">
        <v>733.0</v>
      </c>
      <c r="E79" s="11">
        <v>700.0</v>
      </c>
      <c r="F79" s="11">
        <v>799.0</v>
      </c>
      <c r="G79" s="13">
        <f t="shared" si="1"/>
        <v>33</v>
      </c>
      <c r="H79" s="11">
        <f t="shared" si="2"/>
        <v>15.15151515</v>
      </c>
      <c r="I79" s="13">
        <f t="shared" ref="I79:I83" si="21">-(D79-E79)*H79</f>
        <v>-500</v>
      </c>
      <c r="J79" s="11" t="s">
        <v>19</v>
      </c>
      <c r="K79" s="13">
        <f t="shared" si="5"/>
        <v>7994</v>
      </c>
      <c r="L79" s="14">
        <f t="shared" si="4"/>
        <v>-33</v>
      </c>
    </row>
    <row r="80">
      <c r="A80" s="11">
        <v>73.0</v>
      </c>
      <c r="B80" s="11" t="s">
        <v>17</v>
      </c>
      <c r="C80" s="11" t="s">
        <v>71</v>
      </c>
      <c r="D80" s="11">
        <v>736.0</v>
      </c>
      <c r="E80" s="11">
        <v>702.0</v>
      </c>
      <c r="F80" s="11">
        <v>804.0</v>
      </c>
      <c r="G80" s="13">
        <f t="shared" si="1"/>
        <v>34</v>
      </c>
      <c r="H80" s="11">
        <f t="shared" si="2"/>
        <v>14.70588235</v>
      </c>
      <c r="I80" s="13">
        <f t="shared" si="21"/>
        <v>-500</v>
      </c>
      <c r="J80" s="11" t="s">
        <v>19</v>
      </c>
      <c r="K80" s="13">
        <f t="shared" si="5"/>
        <v>7494</v>
      </c>
      <c r="L80" s="14">
        <f t="shared" si="4"/>
        <v>-34</v>
      </c>
    </row>
    <row r="81">
      <c r="A81" s="11">
        <v>74.0</v>
      </c>
      <c r="B81" s="11" t="s">
        <v>17</v>
      </c>
      <c r="C81" s="12">
        <v>44838.0</v>
      </c>
      <c r="D81" s="11">
        <v>750.0</v>
      </c>
      <c r="E81" s="11">
        <v>730.0</v>
      </c>
      <c r="F81" s="11">
        <v>790.0</v>
      </c>
      <c r="G81" s="13">
        <f t="shared" si="1"/>
        <v>20</v>
      </c>
      <c r="H81" s="11">
        <f t="shared" si="2"/>
        <v>25</v>
      </c>
      <c r="I81" s="13">
        <f t="shared" si="21"/>
        <v>-500</v>
      </c>
      <c r="J81" s="11" t="s">
        <v>19</v>
      </c>
      <c r="K81" s="13">
        <f t="shared" si="5"/>
        <v>6994</v>
      </c>
      <c r="L81" s="14">
        <f t="shared" si="4"/>
        <v>-20</v>
      </c>
    </row>
    <row r="82">
      <c r="A82" s="11">
        <v>75.0</v>
      </c>
      <c r="B82" s="11" t="s">
        <v>17</v>
      </c>
      <c r="C82" s="12">
        <v>44851.0</v>
      </c>
      <c r="D82" s="11">
        <v>737.0</v>
      </c>
      <c r="E82" s="11">
        <v>721.0</v>
      </c>
      <c r="F82" s="11">
        <v>770.0</v>
      </c>
      <c r="G82" s="13">
        <f t="shared" si="1"/>
        <v>16</v>
      </c>
      <c r="H82" s="11">
        <f t="shared" si="2"/>
        <v>31.25</v>
      </c>
      <c r="I82" s="13">
        <f t="shared" si="21"/>
        <v>-500</v>
      </c>
      <c r="J82" s="11" t="s">
        <v>19</v>
      </c>
      <c r="K82" s="13">
        <f t="shared" si="5"/>
        <v>6494</v>
      </c>
      <c r="L82" s="14">
        <f t="shared" si="4"/>
        <v>-16</v>
      </c>
    </row>
    <row r="83">
      <c r="A83" s="11">
        <v>76.0</v>
      </c>
      <c r="B83" s="11" t="s">
        <v>17</v>
      </c>
      <c r="C83" s="12">
        <v>44869.0</v>
      </c>
      <c r="D83" s="11">
        <v>722.0</v>
      </c>
      <c r="E83" s="11">
        <v>712.0</v>
      </c>
      <c r="F83" s="11">
        <v>742.0</v>
      </c>
      <c r="G83" s="13">
        <f t="shared" si="1"/>
        <v>10</v>
      </c>
      <c r="H83" s="11">
        <f t="shared" si="2"/>
        <v>50</v>
      </c>
      <c r="I83" s="13">
        <f t="shared" si="21"/>
        <v>-500</v>
      </c>
      <c r="J83" s="11" t="s">
        <v>19</v>
      </c>
      <c r="K83" s="13">
        <f t="shared" si="5"/>
        <v>5994</v>
      </c>
      <c r="L83" s="14">
        <f t="shared" si="4"/>
        <v>-10</v>
      </c>
    </row>
    <row r="84">
      <c r="A84" s="11">
        <v>77.0</v>
      </c>
      <c r="B84" s="11" t="s">
        <v>17</v>
      </c>
      <c r="C84" s="12">
        <v>45105.0</v>
      </c>
      <c r="D84" s="11">
        <v>712.0</v>
      </c>
      <c r="E84" s="11">
        <v>704.0</v>
      </c>
      <c r="F84" s="11">
        <v>728.0</v>
      </c>
      <c r="G84" s="13">
        <f t="shared" si="1"/>
        <v>8</v>
      </c>
      <c r="H84" s="11">
        <f t="shared" si="2"/>
        <v>62.5</v>
      </c>
      <c r="I84" s="13">
        <f>(F84-D84)*H84</f>
        <v>1000</v>
      </c>
      <c r="J84" s="11" t="s">
        <v>18</v>
      </c>
      <c r="K84" s="13">
        <f t="shared" si="5"/>
        <v>6994</v>
      </c>
      <c r="L84" s="14">
        <f t="shared" si="4"/>
        <v>16</v>
      </c>
    </row>
    <row r="85">
      <c r="A85" s="11">
        <v>78.0</v>
      </c>
      <c r="B85" s="11" t="s">
        <v>17</v>
      </c>
      <c r="C85" s="12">
        <v>45163.0</v>
      </c>
      <c r="D85" s="11">
        <v>727.0</v>
      </c>
      <c r="E85" s="11">
        <v>710.0</v>
      </c>
      <c r="F85" s="11">
        <v>761.0</v>
      </c>
      <c r="G85" s="13">
        <f t="shared" si="1"/>
        <v>17</v>
      </c>
      <c r="H85" s="11">
        <f t="shared" si="2"/>
        <v>29.41176471</v>
      </c>
      <c r="I85" s="13">
        <f>-(D85-E85)*H85</f>
        <v>-500</v>
      </c>
      <c r="J85" s="11" t="s">
        <v>19</v>
      </c>
      <c r="K85" s="13">
        <f t="shared" si="5"/>
        <v>6494</v>
      </c>
      <c r="L85" s="14">
        <f t="shared" si="4"/>
        <v>-17</v>
      </c>
    </row>
    <row r="86">
      <c r="A86" s="11">
        <v>79.0</v>
      </c>
      <c r="B86" s="11" t="s">
        <v>17</v>
      </c>
      <c r="C86" s="11" t="s">
        <v>48</v>
      </c>
      <c r="D86" s="11">
        <v>732.0</v>
      </c>
      <c r="E86" s="11">
        <v>715.0</v>
      </c>
      <c r="F86" s="11">
        <v>770.0</v>
      </c>
      <c r="G86" s="13">
        <f t="shared" si="1"/>
        <v>17</v>
      </c>
      <c r="H86" s="11">
        <f t="shared" si="2"/>
        <v>29.41176471</v>
      </c>
      <c r="I86" s="11">
        <v>1118.0</v>
      </c>
      <c r="J86" s="11" t="s">
        <v>18</v>
      </c>
      <c r="K86" s="13">
        <f t="shared" si="5"/>
        <v>7612</v>
      </c>
      <c r="L86" s="14">
        <f t="shared" si="4"/>
        <v>38.012</v>
      </c>
    </row>
    <row r="87">
      <c r="A87" s="11">
        <v>80.0</v>
      </c>
      <c r="B87" s="11" t="s">
        <v>17</v>
      </c>
      <c r="C87" s="12">
        <v>45272.0</v>
      </c>
      <c r="D87" s="11">
        <v>735.0</v>
      </c>
      <c r="E87" s="11">
        <v>728.0</v>
      </c>
      <c r="F87" s="11">
        <v>749.0</v>
      </c>
      <c r="G87" s="13">
        <f t="shared" si="1"/>
        <v>7</v>
      </c>
      <c r="H87" s="11">
        <f t="shared" si="2"/>
        <v>71.42857143</v>
      </c>
      <c r="I87" s="13">
        <f t="shared" ref="I87:I88" si="22">-(D87-E87)*H87</f>
        <v>-500</v>
      </c>
      <c r="J87" s="11" t="s">
        <v>19</v>
      </c>
      <c r="K87" s="13">
        <f t="shared" si="5"/>
        <v>7112</v>
      </c>
      <c r="L87" s="14">
        <f t="shared" si="4"/>
        <v>-7</v>
      </c>
    </row>
    <row r="88">
      <c r="A88" s="11">
        <v>81.0</v>
      </c>
      <c r="B88" s="11" t="s">
        <v>17</v>
      </c>
      <c r="C88" s="12">
        <v>45274.0</v>
      </c>
      <c r="D88" s="11">
        <v>751.0</v>
      </c>
      <c r="E88" s="11">
        <v>730.0</v>
      </c>
      <c r="F88" s="11">
        <v>793.0</v>
      </c>
      <c r="G88" s="13">
        <f t="shared" si="1"/>
        <v>21</v>
      </c>
      <c r="H88" s="11">
        <f t="shared" si="2"/>
        <v>23.80952381</v>
      </c>
      <c r="I88" s="13">
        <f t="shared" si="22"/>
        <v>-500</v>
      </c>
      <c r="J88" s="11" t="s">
        <v>19</v>
      </c>
      <c r="K88" s="13">
        <f t="shared" si="5"/>
        <v>6612</v>
      </c>
      <c r="L88" s="14">
        <f t="shared" si="4"/>
        <v>-21</v>
      </c>
    </row>
    <row r="89">
      <c r="A89" s="11">
        <v>82.0</v>
      </c>
      <c r="B89" s="11" t="s">
        <v>17</v>
      </c>
      <c r="C89" s="30">
        <v>45293.0</v>
      </c>
      <c r="D89" s="11">
        <v>744.0</v>
      </c>
      <c r="E89" s="11">
        <v>728.0</v>
      </c>
      <c r="F89" s="11">
        <v>778.0</v>
      </c>
      <c r="G89" s="13">
        <f t="shared" si="1"/>
        <v>16</v>
      </c>
      <c r="H89" s="11">
        <f t="shared" si="2"/>
        <v>31.25</v>
      </c>
      <c r="I89" s="13">
        <f t="shared" ref="I89:I90" si="23">(F89-D89)*H89</f>
        <v>1062.5</v>
      </c>
      <c r="J89" s="11" t="s">
        <v>18</v>
      </c>
      <c r="K89" s="13">
        <f t="shared" si="5"/>
        <v>7674.5</v>
      </c>
      <c r="L89" s="14">
        <f t="shared" si="4"/>
        <v>34</v>
      </c>
    </row>
    <row r="90">
      <c r="A90" s="11">
        <v>83.0</v>
      </c>
      <c r="B90" s="11" t="s">
        <v>17</v>
      </c>
      <c r="C90" s="12">
        <v>45467.0</v>
      </c>
      <c r="D90" s="11">
        <v>710.0</v>
      </c>
      <c r="E90" s="11">
        <v>702.0</v>
      </c>
      <c r="F90" s="11">
        <v>726.0</v>
      </c>
      <c r="G90" s="13">
        <f t="shared" si="1"/>
        <v>8</v>
      </c>
      <c r="H90" s="11">
        <f t="shared" si="2"/>
        <v>62.5</v>
      </c>
      <c r="I90" s="13">
        <f t="shared" si="23"/>
        <v>1000</v>
      </c>
      <c r="J90" s="11" t="s">
        <v>18</v>
      </c>
      <c r="K90" s="13">
        <f t="shared" si="5"/>
        <v>8674.5</v>
      </c>
      <c r="L90" s="14">
        <f t="shared" si="4"/>
        <v>16</v>
      </c>
    </row>
    <row r="91">
      <c r="A91" s="11">
        <v>84.0</v>
      </c>
      <c r="B91" s="11" t="s">
        <v>17</v>
      </c>
      <c r="C91" s="30">
        <v>45478.0</v>
      </c>
      <c r="D91" s="11">
        <v>715.0</v>
      </c>
      <c r="E91" s="11">
        <v>707.0</v>
      </c>
      <c r="F91" s="11">
        <v>731.0</v>
      </c>
      <c r="G91" s="13">
        <f t="shared" si="1"/>
        <v>8</v>
      </c>
      <c r="H91" s="11">
        <f t="shared" si="2"/>
        <v>62.5</v>
      </c>
      <c r="I91" s="13">
        <f>-(D91-E91)*H91</f>
        <v>-500</v>
      </c>
      <c r="J91" s="11" t="s">
        <v>19</v>
      </c>
      <c r="K91" s="13">
        <f t="shared" si="5"/>
        <v>8174.5</v>
      </c>
      <c r="L91" s="14">
        <f t="shared" si="4"/>
        <v>-8</v>
      </c>
    </row>
    <row r="92">
      <c r="A92" s="11">
        <v>85.0</v>
      </c>
      <c r="B92" s="11" t="s">
        <v>17</v>
      </c>
      <c r="C92" s="12">
        <v>45658.0</v>
      </c>
      <c r="D92" s="11">
        <v>694.0</v>
      </c>
      <c r="E92" s="11">
        <v>680.0</v>
      </c>
      <c r="F92" s="11">
        <v>722.0</v>
      </c>
      <c r="G92" s="13">
        <f t="shared" si="1"/>
        <v>14</v>
      </c>
      <c r="H92" s="11">
        <f t="shared" si="2"/>
        <v>35.71428571</v>
      </c>
      <c r="I92" s="13">
        <f>(F92-D92)*H92</f>
        <v>1000</v>
      </c>
      <c r="J92" s="11" t="s">
        <v>18</v>
      </c>
      <c r="K92" s="13">
        <f t="shared" si="5"/>
        <v>9174.5</v>
      </c>
      <c r="L92" s="14">
        <f t="shared" si="4"/>
        <v>28</v>
      </c>
    </row>
    <row r="93">
      <c r="A93" s="11">
        <v>86.0</v>
      </c>
      <c r="B93" s="11" t="s">
        <v>17</v>
      </c>
      <c r="C93" s="12">
        <v>45722.0</v>
      </c>
      <c r="D93" s="11">
        <v>846.0</v>
      </c>
      <c r="E93" s="11">
        <v>827.0</v>
      </c>
      <c r="F93" s="11">
        <v>884.0</v>
      </c>
      <c r="G93" s="13">
        <f t="shared" si="1"/>
        <v>19</v>
      </c>
      <c r="H93" s="11">
        <f t="shared" si="2"/>
        <v>26.31578947</v>
      </c>
      <c r="I93" s="13">
        <f>-(D93-E93)*H93</f>
        <v>-500</v>
      </c>
      <c r="J93" s="11" t="s">
        <v>19</v>
      </c>
      <c r="K93" s="13">
        <f t="shared" si="5"/>
        <v>8674.5</v>
      </c>
      <c r="L93" s="14">
        <f t="shared" si="4"/>
        <v>-19</v>
      </c>
    </row>
    <row r="94">
      <c r="A94" s="11">
        <v>87.0</v>
      </c>
      <c r="B94" s="11" t="s">
        <v>17</v>
      </c>
      <c r="C94" s="12">
        <v>45728.0</v>
      </c>
      <c r="D94" s="11">
        <v>852.0</v>
      </c>
      <c r="E94" s="11">
        <v>827.0</v>
      </c>
      <c r="F94" s="11">
        <v>902.0</v>
      </c>
      <c r="G94" s="13">
        <f t="shared" si="1"/>
        <v>25</v>
      </c>
      <c r="H94" s="11">
        <f t="shared" si="2"/>
        <v>20</v>
      </c>
      <c r="I94" s="13">
        <f>(F94-D94)*H94</f>
        <v>1000</v>
      </c>
      <c r="J94" s="11" t="s">
        <v>18</v>
      </c>
      <c r="K94" s="13">
        <f t="shared" si="5"/>
        <v>9674.5</v>
      </c>
      <c r="L94" s="14">
        <f t="shared" si="4"/>
        <v>50</v>
      </c>
    </row>
    <row r="95">
      <c r="A95" s="11">
        <v>88.0</v>
      </c>
      <c r="B95" s="11" t="s">
        <v>17</v>
      </c>
      <c r="C95" s="12">
        <v>45751.0</v>
      </c>
      <c r="D95" s="11">
        <v>879.0</v>
      </c>
      <c r="E95" s="11">
        <v>858.0</v>
      </c>
      <c r="F95" s="11">
        <v>921.0</v>
      </c>
      <c r="G95" s="13">
        <f t="shared" si="1"/>
        <v>21</v>
      </c>
      <c r="H95" s="11">
        <f t="shared" si="2"/>
        <v>23.80952381</v>
      </c>
      <c r="I95" s="13">
        <f>-(D95-E95)*H95</f>
        <v>-500</v>
      </c>
      <c r="J95" s="11" t="s">
        <v>19</v>
      </c>
      <c r="K95" s="13">
        <f t="shared" si="5"/>
        <v>9174.5</v>
      </c>
      <c r="L95" s="14">
        <f t="shared" si="4"/>
        <v>-21</v>
      </c>
    </row>
    <row r="96">
      <c r="A96" s="11">
        <v>89.0</v>
      </c>
      <c r="B96" s="11" t="s">
        <v>17</v>
      </c>
      <c r="C96" s="12">
        <v>45755.0</v>
      </c>
      <c r="D96" s="11">
        <v>887.0</v>
      </c>
      <c r="E96" s="11">
        <v>865.0</v>
      </c>
      <c r="F96" s="11">
        <v>931.0</v>
      </c>
      <c r="G96" s="13">
        <f t="shared" si="1"/>
        <v>22</v>
      </c>
      <c r="H96" s="11">
        <f t="shared" si="2"/>
        <v>22.72727273</v>
      </c>
      <c r="I96" s="13">
        <f>(F96-D96)*H96</f>
        <v>1000</v>
      </c>
      <c r="J96" s="11" t="s">
        <v>18</v>
      </c>
      <c r="K96" s="13">
        <f t="shared" si="5"/>
        <v>10174.5</v>
      </c>
      <c r="L96" s="14">
        <f t="shared" si="4"/>
        <v>44</v>
      </c>
    </row>
    <row r="97">
      <c r="A97" s="11">
        <v>90.0</v>
      </c>
      <c r="B97" s="11" t="s">
        <v>17</v>
      </c>
      <c r="C97" s="15">
        <v>45784.0</v>
      </c>
      <c r="D97" s="11">
        <v>899.0</v>
      </c>
      <c r="E97" s="11">
        <v>872.0</v>
      </c>
      <c r="F97" s="11">
        <v>953.0</v>
      </c>
      <c r="G97" s="13">
        <f t="shared" si="1"/>
        <v>27</v>
      </c>
      <c r="H97" s="11">
        <f t="shared" si="2"/>
        <v>18.51851852</v>
      </c>
      <c r="I97" s="13">
        <f t="shared" ref="I97:I99" si="24">-(D97-E97)*H97</f>
        <v>-500</v>
      </c>
      <c r="J97" s="11" t="s">
        <v>19</v>
      </c>
      <c r="K97" s="13">
        <f t="shared" si="5"/>
        <v>9674.5</v>
      </c>
      <c r="L97" s="14">
        <f t="shared" si="4"/>
        <v>-27</v>
      </c>
    </row>
    <row r="98">
      <c r="A98" s="11">
        <v>91.0</v>
      </c>
      <c r="B98" s="11" t="s">
        <v>17</v>
      </c>
      <c r="C98" s="15">
        <v>45789.0</v>
      </c>
      <c r="D98" s="11">
        <v>903.0</v>
      </c>
      <c r="E98" s="11">
        <v>882.0</v>
      </c>
      <c r="F98" s="11">
        <v>945.0</v>
      </c>
      <c r="G98" s="13">
        <f t="shared" si="1"/>
        <v>21</v>
      </c>
      <c r="H98" s="11">
        <f t="shared" si="2"/>
        <v>23.80952381</v>
      </c>
      <c r="I98" s="13">
        <f t="shared" si="24"/>
        <v>-500</v>
      </c>
      <c r="J98" s="11" t="s">
        <v>19</v>
      </c>
      <c r="K98" s="13">
        <f t="shared" si="5"/>
        <v>9174.5</v>
      </c>
      <c r="L98" s="14">
        <f t="shared" si="4"/>
        <v>-21</v>
      </c>
    </row>
    <row r="99">
      <c r="A99" s="11">
        <v>92.0</v>
      </c>
      <c r="B99" s="11" t="s">
        <v>17</v>
      </c>
      <c r="C99" s="15">
        <v>45814.0</v>
      </c>
      <c r="D99" s="11">
        <v>943.0</v>
      </c>
      <c r="E99" s="11">
        <v>887.0</v>
      </c>
      <c r="F99" s="11">
        <v>1045.0</v>
      </c>
      <c r="G99" s="13">
        <f t="shared" si="1"/>
        <v>56</v>
      </c>
      <c r="H99" s="11">
        <f t="shared" si="2"/>
        <v>8.928571429</v>
      </c>
      <c r="I99" s="13">
        <f t="shared" si="24"/>
        <v>-500</v>
      </c>
      <c r="J99" s="11" t="s">
        <v>19</v>
      </c>
      <c r="K99" s="13">
        <f t="shared" si="5"/>
        <v>8674.5</v>
      </c>
      <c r="L99" s="14">
        <f t="shared" si="4"/>
        <v>-56</v>
      </c>
    </row>
    <row r="100">
      <c r="A100" s="11">
        <v>93.0</v>
      </c>
      <c r="B100" s="11" t="s">
        <v>17</v>
      </c>
      <c r="C100" s="15">
        <v>45833.0</v>
      </c>
      <c r="D100" s="11">
        <v>930.0</v>
      </c>
      <c r="E100" s="11">
        <v>916.0</v>
      </c>
      <c r="F100" s="11">
        <v>958.0</v>
      </c>
      <c r="G100" s="13">
        <f t="shared" si="1"/>
        <v>14</v>
      </c>
      <c r="H100" s="11">
        <f t="shared" si="2"/>
        <v>35.71428571</v>
      </c>
      <c r="I100" s="13">
        <f t="shared" ref="I100:I101" si="25">(F100-D100)*H100</f>
        <v>1000</v>
      </c>
      <c r="J100" s="11" t="s">
        <v>18</v>
      </c>
      <c r="K100" s="13">
        <f t="shared" si="5"/>
        <v>9674.5</v>
      </c>
      <c r="L100" s="14">
        <f t="shared" si="4"/>
        <v>28</v>
      </c>
    </row>
    <row r="101">
      <c r="A101" s="11">
        <v>94.0</v>
      </c>
      <c r="B101" s="11" t="s">
        <v>17</v>
      </c>
      <c r="C101" s="15">
        <v>45846.0</v>
      </c>
      <c r="D101" s="11">
        <v>929.0</v>
      </c>
      <c r="E101" s="11">
        <v>918.0</v>
      </c>
      <c r="F101" s="11">
        <v>951.0</v>
      </c>
      <c r="G101" s="13">
        <f t="shared" si="1"/>
        <v>11</v>
      </c>
      <c r="H101" s="11">
        <f t="shared" si="2"/>
        <v>45.45454545</v>
      </c>
      <c r="I101" s="13">
        <f t="shared" si="25"/>
        <v>1000</v>
      </c>
      <c r="J101" s="11" t="s">
        <v>18</v>
      </c>
      <c r="K101" s="13">
        <f t="shared" si="5"/>
        <v>10674.5</v>
      </c>
      <c r="L101" s="14">
        <f t="shared" si="4"/>
        <v>22</v>
      </c>
    </row>
    <row r="102">
      <c r="A102" s="11">
        <v>95.0</v>
      </c>
      <c r="B102" s="11" t="s">
        <v>17</v>
      </c>
      <c r="C102" s="15">
        <v>45856.0</v>
      </c>
      <c r="D102" s="11">
        <v>944.0</v>
      </c>
      <c r="E102" s="11">
        <v>920.0</v>
      </c>
      <c r="F102" s="11">
        <v>992.0</v>
      </c>
      <c r="G102" s="13">
        <f t="shared" si="1"/>
        <v>24</v>
      </c>
      <c r="H102" s="11">
        <f t="shared" si="2"/>
        <v>20.83333333</v>
      </c>
      <c r="I102" s="13">
        <f t="shared" ref="I102:I106" si="26">-(D102-E102)*H102</f>
        <v>-500</v>
      </c>
      <c r="J102" s="11" t="s">
        <v>19</v>
      </c>
      <c r="K102" s="13">
        <f t="shared" si="5"/>
        <v>10174.5</v>
      </c>
      <c r="L102" s="14">
        <f t="shared" si="4"/>
        <v>-24</v>
      </c>
    </row>
    <row r="103">
      <c r="A103" s="11">
        <v>96.0</v>
      </c>
      <c r="B103" s="11" t="s">
        <v>17</v>
      </c>
      <c r="C103" s="12">
        <v>45887.0</v>
      </c>
      <c r="D103" s="11">
        <v>919.0</v>
      </c>
      <c r="E103" s="11">
        <v>875.0</v>
      </c>
      <c r="F103" s="11">
        <v>1007.0</v>
      </c>
      <c r="G103" s="13">
        <f t="shared" si="1"/>
        <v>44</v>
      </c>
      <c r="H103" s="11">
        <f t="shared" si="2"/>
        <v>11.36363636</v>
      </c>
      <c r="I103" s="13">
        <f t="shared" si="26"/>
        <v>-500</v>
      </c>
      <c r="J103" s="11" t="s">
        <v>19</v>
      </c>
      <c r="K103" s="13">
        <f t="shared" si="5"/>
        <v>9674.5</v>
      </c>
      <c r="L103" s="14">
        <f t="shared" si="4"/>
        <v>-44</v>
      </c>
    </row>
    <row r="104">
      <c r="A104" s="11">
        <v>97.0</v>
      </c>
      <c r="B104" s="11" t="s">
        <v>17</v>
      </c>
      <c r="C104" s="12">
        <v>45965.0</v>
      </c>
      <c r="D104" s="11">
        <v>1060.0</v>
      </c>
      <c r="E104" s="11">
        <v>1035.0</v>
      </c>
      <c r="F104" s="11">
        <v>1110.0</v>
      </c>
      <c r="G104" s="13">
        <f t="shared" si="1"/>
        <v>25</v>
      </c>
      <c r="H104" s="11">
        <f t="shared" si="2"/>
        <v>20</v>
      </c>
      <c r="I104" s="13">
        <f t="shared" si="26"/>
        <v>-500</v>
      </c>
      <c r="J104" s="11" t="s">
        <v>19</v>
      </c>
      <c r="K104" s="13">
        <f t="shared" si="5"/>
        <v>9174.5</v>
      </c>
      <c r="L104" s="14">
        <f t="shared" si="4"/>
        <v>-25</v>
      </c>
    </row>
    <row r="105">
      <c r="A105" s="11">
        <v>98.0</v>
      </c>
      <c r="B105" s="11" t="s">
        <v>17</v>
      </c>
      <c r="C105" s="12">
        <v>45988.0</v>
      </c>
      <c r="D105" s="11">
        <v>1044.0</v>
      </c>
      <c r="E105" s="11">
        <v>1010.0</v>
      </c>
      <c r="F105" s="11">
        <v>1112.0</v>
      </c>
      <c r="G105" s="13">
        <f t="shared" si="1"/>
        <v>34</v>
      </c>
      <c r="H105" s="11">
        <f t="shared" si="2"/>
        <v>14.70588235</v>
      </c>
      <c r="I105" s="13">
        <f t="shared" si="26"/>
        <v>-500</v>
      </c>
      <c r="J105" s="11" t="s">
        <v>19</v>
      </c>
      <c r="K105" s="13">
        <f t="shared" si="5"/>
        <v>8674.5</v>
      </c>
      <c r="L105" s="14">
        <f t="shared" si="4"/>
        <v>-34</v>
      </c>
    </row>
    <row r="106">
      <c r="A106" s="11">
        <v>99.0</v>
      </c>
      <c r="B106" s="11" t="s">
        <v>17</v>
      </c>
      <c r="C106" s="12">
        <v>45993.0</v>
      </c>
      <c r="D106" s="11">
        <v>1036.0</v>
      </c>
      <c r="E106" s="11">
        <v>1013.0</v>
      </c>
      <c r="F106" s="11">
        <v>1082.0</v>
      </c>
      <c r="G106" s="13">
        <f t="shared" si="1"/>
        <v>23</v>
      </c>
      <c r="H106" s="11">
        <f t="shared" si="2"/>
        <v>21.73913043</v>
      </c>
      <c r="I106" s="13">
        <f t="shared" si="26"/>
        <v>-500</v>
      </c>
      <c r="J106" s="11" t="s">
        <v>19</v>
      </c>
      <c r="K106" s="13">
        <f t="shared" si="5"/>
        <v>8174.5</v>
      </c>
      <c r="L106" s="14">
        <f t="shared" si="4"/>
        <v>-23</v>
      </c>
    </row>
    <row r="107">
      <c r="A107" s="11">
        <v>100.0</v>
      </c>
      <c r="B107" s="11" t="s">
        <v>17</v>
      </c>
      <c r="C107" s="12">
        <v>45995.0</v>
      </c>
      <c r="D107" s="11">
        <v>1032.0</v>
      </c>
      <c r="E107" s="11">
        <v>1016.0</v>
      </c>
      <c r="F107" s="11">
        <v>1064.0</v>
      </c>
      <c r="G107" s="13">
        <f t="shared" si="1"/>
        <v>16</v>
      </c>
      <c r="H107" s="11">
        <f t="shared" si="2"/>
        <v>31.25</v>
      </c>
      <c r="I107" s="11">
        <v>-500.0</v>
      </c>
      <c r="J107" s="11" t="s">
        <v>19</v>
      </c>
      <c r="K107" s="13">
        <f t="shared" si="5"/>
        <v>7674.5</v>
      </c>
      <c r="L107" s="14">
        <f t="shared" si="4"/>
        <v>-16</v>
      </c>
    </row>
    <row r="108">
      <c r="A108" s="8"/>
      <c r="B108" s="8"/>
      <c r="C108" s="8"/>
      <c r="D108" s="8"/>
      <c r="E108" s="8"/>
      <c r="F108" s="8"/>
      <c r="G108" s="8"/>
      <c r="H108" s="8">
        <f>AVERAGE(H8:H107)</f>
        <v>156.3414226</v>
      </c>
      <c r="I108" s="8"/>
      <c r="J108" s="8"/>
      <c r="L108" s="14">
        <f>SUM(L8:L107)</f>
        <v>-172.602</v>
      </c>
    </row>
    <row r="109">
      <c r="A109" s="8"/>
      <c r="B109" s="8"/>
      <c r="C109" s="8"/>
      <c r="D109" s="8"/>
      <c r="E109" s="8"/>
      <c r="F109" s="8"/>
      <c r="G109" s="8"/>
      <c r="H109" s="11" t="s">
        <v>69</v>
      </c>
      <c r="I109" s="13">
        <f>SUM(I8:I107)</f>
        <v>7674.5</v>
      </c>
      <c r="J109" s="8"/>
    </row>
    <row r="110">
      <c r="A110" s="8"/>
      <c r="B110" s="11" t="s">
        <v>62</v>
      </c>
      <c r="C110" s="11">
        <v>38.0</v>
      </c>
      <c r="D110" s="8"/>
      <c r="E110" s="8"/>
      <c r="F110" s="8"/>
      <c r="G110" s="8"/>
      <c r="H110" s="34"/>
      <c r="I110" s="8"/>
      <c r="J110" s="8"/>
    </row>
    <row r="111">
      <c r="A111" s="8"/>
      <c r="B111" s="11" t="s">
        <v>65</v>
      </c>
      <c r="C111" s="11">
        <v>62.0</v>
      </c>
      <c r="D111" s="8"/>
      <c r="E111" s="34" t="s">
        <v>75</v>
      </c>
      <c r="F111" s="34">
        <v>1020.0</v>
      </c>
      <c r="G111" s="34" t="s">
        <v>76</v>
      </c>
      <c r="H111" s="34">
        <f>(I109/H108)</f>
        <v>49.08807835</v>
      </c>
      <c r="I111" s="8"/>
      <c r="J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>
      <c r="A114" s="8"/>
      <c r="B114" s="11" t="s">
        <v>73</v>
      </c>
      <c r="C114" s="11" t="s">
        <v>74</v>
      </c>
      <c r="D114" s="13"/>
      <c r="E114" s="8"/>
      <c r="F114" s="8"/>
      <c r="G114" s="8"/>
      <c r="H114" s="8"/>
      <c r="I114" s="8"/>
      <c r="J114" s="8"/>
    </row>
    <row r="115">
      <c r="A115" s="8"/>
      <c r="B115" s="13"/>
      <c r="C115" s="13"/>
      <c r="D115" s="13"/>
      <c r="E115" s="8"/>
      <c r="F115" s="8"/>
      <c r="G115" s="8"/>
      <c r="H115" s="8"/>
      <c r="I115" s="8"/>
      <c r="J115" s="8"/>
    </row>
    <row r="116">
      <c r="A116" s="8"/>
      <c r="B116" s="11" t="s">
        <v>73</v>
      </c>
      <c r="C116" s="13">
        <f>(C110*(C110/(C110+C111)))-(C111*(C111/(C110+C111)))</f>
        <v>-24</v>
      </c>
      <c r="D116" s="13"/>
      <c r="E116" s="8"/>
      <c r="F116" s="8"/>
      <c r="G116" s="8"/>
      <c r="H116" s="8"/>
      <c r="I116" s="8"/>
      <c r="J116" s="8"/>
    </row>
  </sheetData>
  <autoFilter ref="$J$1:$J$100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1.75"/>
    <col customWidth="1" min="9" max="9" width="19.63"/>
    <col customWidth="1" min="11" max="11" width="17.88"/>
    <col customWidth="1" min="12" max="12" width="18.5"/>
  </cols>
  <sheetData>
    <row r="1">
      <c r="A1" s="16"/>
      <c r="B1" s="17" t="s">
        <v>24</v>
      </c>
      <c r="C1" s="19" t="s">
        <v>1</v>
      </c>
      <c r="D1" s="20"/>
      <c r="E1" s="20"/>
      <c r="F1" s="20"/>
      <c r="G1" s="23"/>
      <c r="H1" s="23"/>
      <c r="I1" s="23"/>
      <c r="J1" s="23"/>
    </row>
    <row r="2">
      <c r="A2" s="24"/>
      <c r="B2" s="24"/>
      <c r="C2" s="19" t="s">
        <v>2</v>
      </c>
      <c r="D2" s="20"/>
      <c r="E2" s="19"/>
      <c r="F2" s="20"/>
      <c r="G2" s="23"/>
      <c r="H2" s="23"/>
      <c r="I2" s="23"/>
      <c r="J2" s="23"/>
    </row>
    <row r="3">
      <c r="A3" s="24"/>
      <c r="B3" s="24"/>
      <c r="C3" s="19" t="s">
        <v>3</v>
      </c>
      <c r="D3" s="20"/>
      <c r="E3" s="20"/>
      <c r="F3" s="20"/>
      <c r="G3" s="23"/>
      <c r="H3" s="23"/>
      <c r="I3" s="23"/>
      <c r="J3" s="23"/>
    </row>
    <row r="4">
      <c r="A4" s="24"/>
      <c r="B4" s="24"/>
      <c r="C4" s="19" t="s">
        <v>4</v>
      </c>
      <c r="D4" s="20"/>
      <c r="E4" s="20"/>
      <c r="F4" s="20"/>
      <c r="G4" s="23"/>
      <c r="H4" s="23"/>
      <c r="I4" s="23"/>
      <c r="J4" s="23"/>
    </row>
    <row r="5">
      <c r="A5" s="24"/>
      <c r="B5" s="24"/>
      <c r="C5" s="19" t="s">
        <v>5</v>
      </c>
      <c r="D5" s="19"/>
      <c r="E5" s="19"/>
      <c r="F5" s="24"/>
      <c r="G5" s="23"/>
      <c r="H5" s="23"/>
      <c r="I5" s="23"/>
      <c r="J5" s="23"/>
    </row>
    <row r="7">
      <c r="A7" s="22" t="s">
        <v>6</v>
      </c>
      <c r="B7" s="22" t="s">
        <v>29</v>
      </c>
      <c r="C7" s="22" t="s">
        <v>30</v>
      </c>
      <c r="D7" s="22" t="s">
        <v>9</v>
      </c>
      <c r="E7" s="22" t="s">
        <v>10</v>
      </c>
      <c r="F7" s="22" t="s">
        <v>11</v>
      </c>
      <c r="G7" s="22" t="s">
        <v>12</v>
      </c>
      <c r="H7" s="22" t="s">
        <v>13</v>
      </c>
      <c r="I7" s="22" t="s">
        <v>39</v>
      </c>
      <c r="J7" s="22" t="s">
        <v>14</v>
      </c>
      <c r="K7" s="17" t="s">
        <v>33</v>
      </c>
      <c r="L7" s="22" t="s">
        <v>34</v>
      </c>
    </row>
    <row r="8">
      <c r="A8" s="25">
        <v>1.0</v>
      </c>
      <c r="B8" s="26">
        <v>44538.0</v>
      </c>
      <c r="C8" s="26">
        <v>44543.0</v>
      </c>
      <c r="D8" s="25">
        <v>17527.0</v>
      </c>
      <c r="E8" s="25">
        <v>17327.0</v>
      </c>
      <c r="F8" s="27">
        <f t="shared" ref="F8:F49" si="1">(D8-E8)*2+D8</f>
        <v>17927</v>
      </c>
      <c r="G8" s="27">
        <f t="shared" ref="G8:G49" si="2">(D8-E8)</f>
        <v>200</v>
      </c>
      <c r="H8" s="27">
        <f t="shared" ref="H8:H30" si="3">(500/G8)</f>
        <v>2.5</v>
      </c>
      <c r="I8" s="25">
        <v>2.0</v>
      </c>
      <c r="J8" s="27">
        <f>-(500*65)</f>
        <v>-32500</v>
      </c>
      <c r="K8" s="28" t="s">
        <v>19</v>
      </c>
      <c r="L8" s="27">
        <f>(J8)</f>
        <v>-32500</v>
      </c>
    </row>
    <row r="9">
      <c r="A9" s="25">
        <v>2.0</v>
      </c>
      <c r="B9" s="26">
        <v>44558.0</v>
      </c>
      <c r="C9" s="26">
        <v>44581.0</v>
      </c>
      <c r="D9" s="25">
        <v>17258.0</v>
      </c>
      <c r="E9" s="25">
        <v>17160.0</v>
      </c>
      <c r="F9" s="27">
        <f t="shared" si="1"/>
        <v>17454</v>
      </c>
      <c r="G9" s="27">
        <f t="shared" si="2"/>
        <v>98</v>
      </c>
      <c r="H9" s="27">
        <f t="shared" si="3"/>
        <v>5.102040816</v>
      </c>
      <c r="I9" s="25">
        <v>2.0</v>
      </c>
      <c r="J9" s="27">
        <f>(1000*65)</f>
        <v>65000</v>
      </c>
      <c r="K9" s="28" t="s">
        <v>18</v>
      </c>
      <c r="L9" s="27">
        <f t="shared" ref="L9:L49" si="4">L8+J9</f>
        <v>32500</v>
      </c>
    </row>
    <row r="10">
      <c r="A10" s="25">
        <v>3.0</v>
      </c>
      <c r="B10" s="26">
        <v>44593.0</v>
      </c>
      <c r="C10" s="26">
        <v>44595.0</v>
      </c>
      <c r="D10" s="25">
        <v>17634.0</v>
      </c>
      <c r="E10" s="25">
        <v>17231.0</v>
      </c>
      <c r="F10" s="27">
        <f t="shared" si="1"/>
        <v>18440</v>
      </c>
      <c r="G10" s="27">
        <f t="shared" si="2"/>
        <v>403</v>
      </c>
      <c r="H10" s="27">
        <f t="shared" si="3"/>
        <v>1.240694789</v>
      </c>
      <c r="I10" s="25">
        <v>2.0</v>
      </c>
      <c r="J10" s="25">
        <v>-32500.0</v>
      </c>
      <c r="K10" s="28" t="s">
        <v>19</v>
      </c>
      <c r="L10" s="27">
        <f t="shared" si="4"/>
        <v>0</v>
      </c>
    </row>
    <row r="11">
      <c r="A11" s="25">
        <v>4.0</v>
      </c>
      <c r="B11" s="26">
        <v>44634.0</v>
      </c>
      <c r="C11" s="26">
        <v>44635.0</v>
      </c>
      <c r="D11" s="25">
        <v>16912.0</v>
      </c>
      <c r="E11" s="25">
        <v>16610.0</v>
      </c>
      <c r="F11" s="27">
        <f t="shared" si="1"/>
        <v>17516</v>
      </c>
      <c r="G11" s="27">
        <f t="shared" si="2"/>
        <v>302</v>
      </c>
      <c r="H11" s="27">
        <f t="shared" si="3"/>
        <v>1.655629139</v>
      </c>
      <c r="I11" s="25">
        <v>2.0</v>
      </c>
      <c r="J11" s="25">
        <v>-32500.0</v>
      </c>
      <c r="K11" s="28" t="s">
        <v>19</v>
      </c>
      <c r="L11" s="27">
        <f t="shared" si="4"/>
        <v>-32500</v>
      </c>
    </row>
    <row r="12">
      <c r="A12" s="25">
        <v>5.0</v>
      </c>
      <c r="B12" s="26">
        <v>44636.0</v>
      </c>
      <c r="C12" s="26">
        <v>44669.0</v>
      </c>
      <c r="D12" s="25">
        <v>17028.0</v>
      </c>
      <c r="E12" s="25">
        <v>16856.0</v>
      </c>
      <c r="F12" s="27">
        <f t="shared" si="1"/>
        <v>17372</v>
      </c>
      <c r="G12" s="27">
        <f t="shared" si="2"/>
        <v>172</v>
      </c>
      <c r="H12" s="27">
        <f t="shared" si="3"/>
        <v>2.906976744</v>
      </c>
      <c r="I12" s="25">
        <v>2.0</v>
      </c>
      <c r="J12" s="25">
        <v>65000.0</v>
      </c>
      <c r="K12" s="28" t="s">
        <v>18</v>
      </c>
      <c r="L12" s="27">
        <f t="shared" si="4"/>
        <v>32500</v>
      </c>
    </row>
    <row r="13">
      <c r="A13" s="25">
        <v>6.0</v>
      </c>
      <c r="B13" s="26">
        <v>44803.0</v>
      </c>
      <c r="C13" s="25" t="s">
        <v>44</v>
      </c>
      <c r="D13" s="25">
        <v>17844.0</v>
      </c>
      <c r="E13" s="25">
        <v>17442.0</v>
      </c>
      <c r="F13" s="27">
        <f t="shared" si="1"/>
        <v>18648</v>
      </c>
      <c r="G13" s="27">
        <f t="shared" si="2"/>
        <v>402</v>
      </c>
      <c r="H13" s="27">
        <f t="shared" si="3"/>
        <v>1.243781095</v>
      </c>
      <c r="I13" s="25">
        <v>2.0</v>
      </c>
      <c r="J13" s="25">
        <v>-32500.0</v>
      </c>
      <c r="K13" s="28" t="s">
        <v>19</v>
      </c>
      <c r="L13" s="27">
        <f t="shared" si="4"/>
        <v>0</v>
      </c>
    </row>
    <row r="14">
      <c r="A14" s="25">
        <v>7.0</v>
      </c>
      <c r="B14" s="25" t="s">
        <v>45</v>
      </c>
      <c r="C14" s="25" t="s">
        <v>46</v>
      </c>
      <c r="D14" s="25">
        <v>17943.0</v>
      </c>
      <c r="E14" s="25">
        <v>17756.0</v>
      </c>
      <c r="F14" s="27">
        <f t="shared" si="1"/>
        <v>18317</v>
      </c>
      <c r="G14" s="27">
        <f t="shared" si="2"/>
        <v>187</v>
      </c>
      <c r="H14" s="27">
        <f t="shared" si="3"/>
        <v>2.673796791</v>
      </c>
      <c r="I14" s="25">
        <v>2.0</v>
      </c>
      <c r="J14" s="25">
        <v>-32500.0</v>
      </c>
      <c r="K14" s="28" t="s">
        <v>19</v>
      </c>
      <c r="L14" s="27">
        <f t="shared" si="4"/>
        <v>-32500</v>
      </c>
    </row>
    <row r="15">
      <c r="A15" s="25">
        <v>8.0</v>
      </c>
      <c r="B15" s="26">
        <v>44851.0</v>
      </c>
      <c r="C15" s="26">
        <v>44910.0</v>
      </c>
      <c r="D15" s="25">
        <v>17324.0</v>
      </c>
      <c r="E15" s="25">
        <v>17100.0</v>
      </c>
      <c r="F15" s="27">
        <f t="shared" si="1"/>
        <v>17772</v>
      </c>
      <c r="G15" s="27">
        <f t="shared" si="2"/>
        <v>224</v>
      </c>
      <c r="H15" s="27">
        <f t="shared" si="3"/>
        <v>2.232142857</v>
      </c>
      <c r="I15" s="25">
        <v>2.0</v>
      </c>
      <c r="J15" s="25">
        <v>65000.0</v>
      </c>
      <c r="K15" s="28" t="s">
        <v>18</v>
      </c>
      <c r="L15" s="27">
        <f t="shared" si="4"/>
        <v>32500</v>
      </c>
    </row>
    <row r="16">
      <c r="A16" s="25">
        <v>9.0</v>
      </c>
      <c r="B16" s="26">
        <v>44929.0</v>
      </c>
      <c r="C16" s="26">
        <v>44930.0</v>
      </c>
      <c r="D16" s="25">
        <v>18333.0</v>
      </c>
      <c r="E16" s="25">
        <v>18210.0</v>
      </c>
      <c r="F16" s="27">
        <f t="shared" si="1"/>
        <v>18579</v>
      </c>
      <c r="G16" s="27">
        <f t="shared" si="2"/>
        <v>123</v>
      </c>
      <c r="H16" s="27">
        <f t="shared" si="3"/>
        <v>4.06504065</v>
      </c>
      <c r="I16" s="25">
        <v>2.0</v>
      </c>
      <c r="J16" s="25">
        <v>-32500.0</v>
      </c>
      <c r="K16" s="28" t="s">
        <v>19</v>
      </c>
      <c r="L16" s="27">
        <f t="shared" si="4"/>
        <v>0</v>
      </c>
    </row>
    <row r="17">
      <c r="A17" s="25">
        <v>10.0</v>
      </c>
      <c r="B17" s="26">
        <v>44944.0</v>
      </c>
      <c r="C17" s="26">
        <v>44945.0</v>
      </c>
      <c r="D17" s="25">
        <v>18224.0</v>
      </c>
      <c r="E17" s="25">
        <v>18071.0</v>
      </c>
      <c r="F17" s="27">
        <f t="shared" si="1"/>
        <v>18530</v>
      </c>
      <c r="G17" s="27">
        <f t="shared" si="2"/>
        <v>153</v>
      </c>
      <c r="H17" s="27">
        <f t="shared" si="3"/>
        <v>3.267973856</v>
      </c>
      <c r="I17" s="25">
        <v>2.0</v>
      </c>
      <c r="J17" s="25">
        <v>-32500.0</v>
      </c>
      <c r="K17" s="25" t="s">
        <v>19</v>
      </c>
      <c r="L17" s="27">
        <f t="shared" si="4"/>
        <v>-32500</v>
      </c>
    </row>
    <row r="18">
      <c r="A18" s="25">
        <v>11.0</v>
      </c>
      <c r="B18" s="26">
        <v>44971.0</v>
      </c>
      <c r="C18" s="26">
        <v>44977.0</v>
      </c>
      <c r="D18" s="25">
        <v>17969.0</v>
      </c>
      <c r="E18" s="25">
        <v>17812.0</v>
      </c>
      <c r="F18" s="27">
        <f t="shared" si="1"/>
        <v>18283</v>
      </c>
      <c r="G18" s="27">
        <f t="shared" si="2"/>
        <v>157</v>
      </c>
      <c r="H18" s="27">
        <f t="shared" si="3"/>
        <v>3.184713376</v>
      </c>
      <c r="I18" s="25">
        <v>2.0</v>
      </c>
      <c r="J18" s="25">
        <v>-32500.0</v>
      </c>
      <c r="K18" s="25" t="s">
        <v>19</v>
      </c>
      <c r="L18" s="27">
        <f t="shared" si="4"/>
        <v>-65000</v>
      </c>
    </row>
    <row r="19">
      <c r="A19" s="25">
        <v>12.0</v>
      </c>
      <c r="B19" s="26">
        <v>45145.0</v>
      </c>
      <c r="C19" s="26">
        <v>45148.0</v>
      </c>
      <c r="D19" s="25">
        <v>19684.0</v>
      </c>
      <c r="E19" s="25">
        <v>19577.0</v>
      </c>
      <c r="F19" s="27">
        <f t="shared" si="1"/>
        <v>19898</v>
      </c>
      <c r="G19" s="27">
        <f t="shared" si="2"/>
        <v>107</v>
      </c>
      <c r="H19" s="27">
        <f t="shared" si="3"/>
        <v>4.672897196</v>
      </c>
      <c r="I19" s="25">
        <v>2.0</v>
      </c>
      <c r="J19" s="25">
        <v>-32500.0</v>
      </c>
      <c r="K19" s="25" t="s">
        <v>19</v>
      </c>
      <c r="L19" s="27">
        <f t="shared" si="4"/>
        <v>-97500</v>
      </c>
    </row>
    <row r="20">
      <c r="A20" s="25">
        <v>13.0</v>
      </c>
      <c r="B20" s="25" t="s">
        <v>48</v>
      </c>
      <c r="C20" s="25" t="s">
        <v>49</v>
      </c>
      <c r="D20" s="25">
        <v>19529.0</v>
      </c>
      <c r="E20" s="25">
        <v>19377.0</v>
      </c>
      <c r="F20" s="27">
        <f t="shared" si="1"/>
        <v>19833</v>
      </c>
      <c r="G20" s="27">
        <f t="shared" si="2"/>
        <v>152</v>
      </c>
      <c r="H20" s="27">
        <f t="shared" si="3"/>
        <v>3.289473684</v>
      </c>
      <c r="I20" s="25">
        <v>2.0</v>
      </c>
      <c r="J20" s="25">
        <v>65000.0</v>
      </c>
      <c r="K20" s="25" t="s">
        <v>18</v>
      </c>
      <c r="L20" s="27">
        <f t="shared" si="4"/>
        <v>-32500</v>
      </c>
    </row>
    <row r="21">
      <c r="A21" s="25">
        <v>14.0</v>
      </c>
      <c r="B21" s="26">
        <v>45209.0</v>
      </c>
      <c r="C21" s="26">
        <v>45217.0</v>
      </c>
      <c r="D21" s="25">
        <v>19749.0</v>
      </c>
      <c r="E21" s="25">
        <v>19585.0</v>
      </c>
      <c r="F21" s="27">
        <f t="shared" si="1"/>
        <v>20077</v>
      </c>
      <c r="G21" s="27">
        <f t="shared" si="2"/>
        <v>164</v>
      </c>
      <c r="H21" s="27">
        <f t="shared" si="3"/>
        <v>3.048780488</v>
      </c>
      <c r="I21" s="25">
        <v>2.0</v>
      </c>
      <c r="J21" s="25">
        <v>-32500.0</v>
      </c>
      <c r="K21" s="25" t="s">
        <v>19</v>
      </c>
      <c r="L21" s="27">
        <f t="shared" si="4"/>
        <v>-65000</v>
      </c>
    </row>
    <row r="22">
      <c r="A22" s="25">
        <v>15.0</v>
      </c>
      <c r="B22" s="26">
        <v>45310.0</v>
      </c>
      <c r="C22" s="26">
        <v>45311.0</v>
      </c>
      <c r="D22" s="25">
        <v>21708.0</v>
      </c>
      <c r="E22" s="25">
        <v>21579.0</v>
      </c>
      <c r="F22" s="27">
        <f t="shared" si="1"/>
        <v>21966</v>
      </c>
      <c r="G22" s="27">
        <f t="shared" si="2"/>
        <v>129</v>
      </c>
      <c r="H22" s="27">
        <f t="shared" si="3"/>
        <v>3.875968992</v>
      </c>
      <c r="I22" s="25">
        <v>2.0</v>
      </c>
      <c r="J22" s="25">
        <v>-32500.0</v>
      </c>
      <c r="K22" s="25" t="s">
        <v>19</v>
      </c>
      <c r="L22" s="27">
        <f t="shared" si="4"/>
        <v>-97500</v>
      </c>
    </row>
    <row r="23">
      <c r="A23" s="25">
        <v>16.0</v>
      </c>
      <c r="B23" s="26">
        <v>45320.0</v>
      </c>
      <c r="C23" s="26">
        <v>45334.0</v>
      </c>
      <c r="D23" s="25">
        <v>21885.0</v>
      </c>
      <c r="E23" s="25">
        <v>21575.0</v>
      </c>
      <c r="F23" s="27">
        <f t="shared" si="1"/>
        <v>22505</v>
      </c>
      <c r="G23" s="27">
        <f t="shared" si="2"/>
        <v>310</v>
      </c>
      <c r="H23" s="27">
        <f t="shared" si="3"/>
        <v>1.612903226</v>
      </c>
      <c r="I23" s="25">
        <v>2.0</v>
      </c>
      <c r="J23" s="25">
        <v>-32500.0</v>
      </c>
      <c r="K23" s="25" t="s">
        <v>19</v>
      </c>
      <c r="L23" s="27">
        <f t="shared" si="4"/>
        <v>-130000</v>
      </c>
    </row>
    <row r="24">
      <c r="A24" s="25">
        <v>17.0</v>
      </c>
      <c r="B24" s="26">
        <v>45335.0</v>
      </c>
      <c r="C24" s="26">
        <v>45350.0</v>
      </c>
      <c r="D24" s="25">
        <v>21844.0</v>
      </c>
      <c r="E24" s="25">
        <v>21626.0</v>
      </c>
      <c r="F24" s="27">
        <f t="shared" si="1"/>
        <v>22280</v>
      </c>
      <c r="G24" s="27">
        <f t="shared" si="2"/>
        <v>218</v>
      </c>
      <c r="H24" s="27">
        <f t="shared" si="3"/>
        <v>2.293577982</v>
      </c>
      <c r="I24" s="25">
        <v>2.0</v>
      </c>
      <c r="J24" s="25">
        <v>65000.0</v>
      </c>
      <c r="K24" s="25" t="s">
        <v>18</v>
      </c>
      <c r="L24" s="27">
        <f t="shared" si="4"/>
        <v>-65000</v>
      </c>
    </row>
    <row r="25">
      <c r="A25" s="25">
        <v>18.0</v>
      </c>
      <c r="B25" s="26">
        <v>45352.0</v>
      </c>
      <c r="C25" s="26">
        <v>45364.0</v>
      </c>
      <c r="D25" s="25">
        <v>22453.0</v>
      </c>
      <c r="E25" s="25">
        <v>22180.0</v>
      </c>
      <c r="F25" s="27">
        <f t="shared" si="1"/>
        <v>22999</v>
      </c>
      <c r="G25" s="27">
        <f t="shared" si="2"/>
        <v>273</v>
      </c>
      <c r="H25" s="27">
        <f t="shared" si="3"/>
        <v>1.831501832</v>
      </c>
      <c r="I25" s="25">
        <v>2.0</v>
      </c>
      <c r="J25" s="25">
        <v>-32500.0</v>
      </c>
      <c r="K25" s="25" t="s">
        <v>19</v>
      </c>
      <c r="L25" s="27">
        <f t="shared" si="4"/>
        <v>-97500</v>
      </c>
    </row>
    <row r="26">
      <c r="A26" s="25">
        <v>19.0</v>
      </c>
      <c r="B26" s="26">
        <v>45373.0</v>
      </c>
      <c r="C26" s="26">
        <v>45377.0</v>
      </c>
      <c r="D26" s="25">
        <v>22258.0</v>
      </c>
      <c r="E26" s="25">
        <v>21953.0</v>
      </c>
      <c r="F26" s="27">
        <f t="shared" si="1"/>
        <v>22868</v>
      </c>
      <c r="G26" s="27">
        <f t="shared" si="2"/>
        <v>305</v>
      </c>
      <c r="H26" s="27">
        <f t="shared" si="3"/>
        <v>1.639344262</v>
      </c>
      <c r="I26" s="25">
        <v>2.0</v>
      </c>
      <c r="J26" s="25">
        <v>-32500.0</v>
      </c>
      <c r="K26" s="25" t="s">
        <v>19</v>
      </c>
      <c r="L26" s="27">
        <f t="shared" si="4"/>
        <v>-130000</v>
      </c>
    </row>
    <row r="27">
      <c r="A27" s="25">
        <v>20.0</v>
      </c>
      <c r="B27" s="26">
        <v>45378.0</v>
      </c>
      <c r="C27" s="26">
        <v>45397.0</v>
      </c>
      <c r="D27" s="25">
        <v>22210.0</v>
      </c>
      <c r="E27" s="25">
        <v>22081.0</v>
      </c>
      <c r="F27" s="27">
        <f t="shared" si="1"/>
        <v>22468</v>
      </c>
      <c r="G27" s="27">
        <f t="shared" si="2"/>
        <v>129</v>
      </c>
      <c r="H27" s="27">
        <f t="shared" si="3"/>
        <v>3.875968992</v>
      </c>
      <c r="I27" s="25">
        <v>2.0</v>
      </c>
      <c r="J27" s="25">
        <v>65000.0</v>
      </c>
      <c r="K27" s="25" t="s">
        <v>18</v>
      </c>
      <c r="L27" s="27">
        <f t="shared" si="4"/>
        <v>-65000</v>
      </c>
    </row>
    <row r="28">
      <c r="A28" s="25">
        <v>21.0</v>
      </c>
      <c r="B28" s="26">
        <v>45404.0</v>
      </c>
      <c r="C28" s="29">
        <v>45419.0</v>
      </c>
      <c r="D28" s="25">
        <v>22399.0</v>
      </c>
      <c r="E28" s="25">
        <v>22186.0</v>
      </c>
      <c r="F28" s="27">
        <f t="shared" si="1"/>
        <v>22825</v>
      </c>
      <c r="G28" s="27">
        <f t="shared" si="2"/>
        <v>213</v>
      </c>
      <c r="H28" s="27">
        <f t="shared" si="3"/>
        <v>2.34741784</v>
      </c>
      <c r="I28" s="25">
        <v>2.0</v>
      </c>
      <c r="J28" s="25">
        <v>65000.0</v>
      </c>
      <c r="K28" s="25" t="s">
        <v>18</v>
      </c>
      <c r="L28" s="27">
        <f t="shared" si="4"/>
        <v>0</v>
      </c>
    </row>
    <row r="29">
      <c r="A29" s="25">
        <v>22.0</v>
      </c>
      <c r="B29" s="29">
        <v>45428.0</v>
      </c>
      <c r="C29" s="29">
        <v>45442.0</v>
      </c>
      <c r="D29" s="25">
        <v>22485.0</v>
      </c>
      <c r="E29" s="25">
        <v>22154.0</v>
      </c>
      <c r="F29" s="27">
        <f t="shared" si="1"/>
        <v>23147</v>
      </c>
      <c r="G29" s="27">
        <f t="shared" si="2"/>
        <v>331</v>
      </c>
      <c r="H29" s="27">
        <f t="shared" si="3"/>
        <v>1.510574018</v>
      </c>
      <c r="I29" s="25">
        <v>2.0</v>
      </c>
      <c r="J29" s="25">
        <v>65000.0</v>
      </c>
      <c r="K29" s="25" t="s">
        <v>18</v>
      </c>
      <c r="L29" s="27">
        <f t="shared" si="4"/>
        <v>65000</v>
      </c>
    </row>
    <row r="30">
      <c r="A30" s="25">
        <v>23.0</v>
      </c>
      <c r="B30" s="29">
        <v>45443.0</v>
      </c>
      <c r="C30" s="26">
        <v>45447.0</v>
      </c>
      <c r="D30" s="25">
        <v>22789.0</v>
      </c>
      <c r="E30" s="25">
        <v>22610.0</v>
      </c>
      <c r="F30" s="27">
        <f t="shared" si="1"/>
        <v>23147</v>
      </c>
      <c r="G30" s="27">
        <f t="shared" si="2"/>
        <v>179</v>
      </c>
      <c r="H30" s="27">
        <f t="shared" si="3"/>
        <v>2.793296089</v>
      </c>
      <c r="I30" s="25">
        <v>2.0</v>
      </c>
      <c r="J30" s="25">
        <v>65000.0</v>
      </c>
      <c r="K30" s="25" t="s">
        <v>18</v>
      </c>
      <c r="L30" s="27">
        <f t="shared" si="4"/>
        <v>130000</v>
      </c>
    </row>
    <row r="31">
      <c r="A31" s="25">
        <v>24.0</v>
      </c>
      <c r="B31" s="26">
        <v>45448.0</v>
      </c>
      <c r="C31" s="26">
        <v>45509.0</v>
      </c>
      <c r="D31" s="25">
        <v>22710.0</v>
      </c>
      <c r="E31" s="25">
        <v>21824.0</v>
      </c>
      <c r="F31" s="27">
        <f t="shared" si="1"/>
        <v>24482</v>
      </c>
      <c r="G31" s="27">
        <f t="shared" si="2"/>
        <v>886</v>
      </c>
      <c r="H31" s="25">
        <v>1.0</v>
      </c>
      <c r="I31" s="25">
        <v>2.0</v>
      </c>
      <c r="J31" s="25">
        <v>65000.0</v>
      </c>
      <c r="K31" s="25" t="s">
        <v>18</v>
      </c>
      <c r="L31" s="27">
        <f t="shared" si="4"/>
        <v>195000</v>
      </c>
    </row>
    <row r="32">
      <c r="A32" s="25">
        <v>25.0</v>
      </c>
      <c r="B32" s="26">
        <v>45520.0</v>
      </c>
      <c r="C32" s="25" t="s">
        <v>52</v>
      </c>
      <c r="D32" s="25">
        <v>24606.0</v>
      </c>
      <c r="E32" s="25">
        <v>24233.0</v>
      </c>
      <c r="F32" s="27">
        <f t="shared" si="1"/>
        <v>25352</v>
      </c>
      <c r="G32" s="27">
        <f t="shared" si="2"/>
        <v>373</v>
      </c>
      <c r="H32" s="27">
        <f t="shared" ref="H32:H45" si="5">(500/G32)</f>
        <v>1.340482574</v>
      </c>
      <c r="I32" s="25">
        <v>2.0</v>
      </c>
      <c r="J32" s="25">
        <v>65000.0</v>
      </c>
      <c r="K32" s="25" t="s">
        <v>18</v>
      </c>
      <c r="L32" s="27">
        <f t="shared" si="4"/>
        <v>260000</v>
      </c>
    </row>
    <row r="33">
      <c r="A33" s="25">
        <v>26.0</v>
      </c>
      <c r="B33" s="25" t="s">
        <v>53</v>
      </c>
      <c r="C33" s="25" t="s">
        <v>54</v>
      </c>
      <c r="D33" s="25">
        <v>25000.0</v>
      </c>
      <c r="E33" s="25">
        <v>24816.0</v>
      </c>
      <c r="F33" s="27">
        <f t="shared" si="1"/>
        <v>25368</v>
      </c>
      <c r="G33" s="27">
        <f t="shared" si="2"/>
        <v>184</v>
      </c>
      <c r="H33" s="27">
        <f t="shared" si="5"/>
        <v>2.717391304</v>
      </c>
      <c r="I33" s="25">
        <v>2.0</v>
      </c>
      <c r="J33" s="25">
        <v>-32500.0</v>
      </c>
      <c r="K33" s="25" t="s">
        <v>19</v>
      </c>
      <c r="L33" s="27">
        <f t="shared" si="4"/>
        <v>227500</v>
      </c>
    </row>
    <row r="34">
      <c r="A34" s="25">
        <v>27.0</v>
      </c>
      <c r="B34" s="25" t="s">
        <v>55</v>
      </c>
      <c r="C34" s="26">
        <v>45568.0</v>
      </c>
      <c r="D34" s="25">
        <v>25416.0</v>
      </c>
      <c r="E34" s="25">
        <v>24987.0</v>
      </c>
      <c r="F34" s="27">
        <f t="shared" si="1"/>
        <v>26274</v>
      </c>
      <c r="G34" s="27">
        <f t="shared" si="2"/>
        <v>429</v>
      </c>
      <c r="H34" s="27">
        <f t="shared" si="5"/>
        <v>1.165501166</v>
      </c>
      <c r="I34" s="25">
        <v>2.0</v>
      </c>
      <c r="J34" s="25">
        <v>65000.0</v>
      </c>
      <c r="K34" s="25" t="s">
        <v>18</v>
      </c>
      <c r="L34" s="27">
        <f t="shared" si="4"/>
        <v>292500</v>
      </c>
    </row>
    <row r="35">
      <c r="A35" s="25">
        <v>28.0</v>
      </c>
      <c r="B35" s="26">
        <v>45812.0</v>
      </c>
      <c r="C35" s="26">
        <v>45821.0</v>
      </c>
      <c r="D35" s="25">
        <v>24761.0</v>
      </c>
      <c r="E35" s="25">
        <v>24637.0</v>
      </c>
      <c r="F35" s="27">
        <f t="shared" si="1"/>
        <v>25009</v>
      </c>
      <c r="G35" s="27">
        <f t="shared" si="2"/>
        <v>124</v>
      </c>
      <c r="H35" s="27">
        <f t="shared" si="5"/>
        <v>4.032258065</v>
      </c>
      <c r="I35" s="25">
        <v>2.0</v>
      </c>
      <c r="J35" s="25">
        <v>65000.0</v>
      </c>
      <c r="K35" s="25" t="s">
        <v>18</v>
      </c>
      <c r="L35" s="27">
        <f t="shared" si="4"/>
        <v>357500</v>
      </c>
    </row>
    <row r="36">
      <c r="A36" s="25">
        <v>29.0</v>
      </c>
      <c r="B36" s="26">
        <v>45824.0</v>
      </c>
      <c r="C36" s="26">
        <v>45826.0</v>
      </c>
      <c r="D36" s="25">
        <v>25024.0</v>
      </c>
      <c r="E36" s="25">
        <v>24735.0</v>
      </c>
      <c r="F36" s="27">
        <f t="shared" si="1"/>
        <v>25602</v>
      </c>
      <c r="G36" s="27">
        <f t="shared" si="2"/>
        <v>289</v>
      </c>
      <c r="H36" s="27">
        <f t="shared" si="5"/>
        <v>1.730103806</v>
      </c>
      <c r="I36" s="25">
        <v>2.0</v>
      </c>
      <c r="J36" s="25">
        <v>-32500.0</v>
      </c>
      <c r="K36" s="25" t="s">
        <v>19</v>
      </c>
      <c r="L36" s="27">
        <f t="shared" si="4"/>
        <v>325000</v>
      </c>
    </row>
    <row r="37">
      <c r="A37" s="25">
        <v>30.0</v>
      </c>
      <c r="B37" s="26">
        <v>45828.0</v>
      </c>
      <c r="C37" s="26">
        <v>45852.0</v>
      </c>
      <c r="D37" s="25">
        <v>25137.0</v>
      </c>
      <c r="E37" s="25">
        <v>24806.0</v>
      </c>
      <c r="F37" s="27">
        <f t="shared" si="1"/>
        <v>25799</v>
      </c>
      <c r="G37" s="27">
        <f t="shared" si="2"/>
        <v>331</v>
      </c>
      <c r="H37" s="27">
        <f t="shared" si="5"/>
        <v>1.510574018</v>
      </c>
      <c r="I37" s="25">
        <v>2.0</v>
      </c>
      <c r="J37" s="25">
        <v>-32500.0</v>
      </c>
      <c r="K37" s="25" t="s">
        <v>19</v>
      </c>
      <c r="L37" s="27">
        <f t="shared" si="4"/>
        <v>292500</v>
      </c>
    </row>
    <row r="38">
      <c r="A38" s="25">
        <v>31.0</v>
      </c>
      <c r="B38" s="26">
        <v>45861.0</v>
      </c>
      <c r="C38" s="26">
        <v>45862.0</v>
      </c>
      <c r="D38" s="25">
        <v>25260.0</v>
      </c>
      <c r="E38" s="25">
        <v>25112.0</v>
      </c>
      <c r="F38" s="27">
        <f t="shared" si="1"/>
        <v>25556</v>
      </c>
      <c r="G38" s="27">
        <f t="shared" si="2"/>
        <v>148</v>
      </c>
      <c r="H38" s="27">
        <f t="shared" si="5"/>
        <v>3.378378378</v>
      </c>
      <c r="I38" s="25">
        <v>2.0</v>
      </c>
      <c r="J38" s="25">
        <v>-32500.0</v>
      </c>
      <c r="K38" s="25" t="s">
        <v>19</v>
      </c>
      <c r="L38" s="27">
        <f t="shared" si="4"/>
        <v>260000</v>
      </c>
    </row>
    <row r="39">
      <c r="A39" s="25">
        <v>32.0</v>
      </c>
      <c r="B39" s="26">
        <v>45887.0</v>
      </c>
      <c r="C39" s="26">
        <v>45894.0</v>
      </c>
      <c r="D39" s="25">
        <v>25079.0</v>
      </c>
      <c r="E39" s="25">
        <v>24906.0</v>
      </c>
      <c r="F39" s="27">
        <f t="shared" si="1"/>
        <v>25425</v>
      </c>
      <c r="G39" s="27">
        <f t="shared" si="2"/>
        <v>173</v>
      </c>
      <c r="H39" s="27">
        <f t="shared" si="5"/>
        <v>2.89017341</v>
      </c>
      <c r="I39" s="25">
        <v>2.0</v>
      </c>
      <c r="J39" s="25">
        <v>-32500.0</v>
      </c>
      <c r="K39" s="25" t="s">
        <v>19</v>
      </c>
      <c r="L39" s="27">
        <f t="shared" si="4"/>
        <v>227500</v>
      </c>
    </row>
    <row r="40">
      <c r="A40" s="25">
        <v>33.0</v>
      </c>
      <c r="B40" s="25" t="s">
        <v>58</v>
      </c>
      <c r="C40" s="25" t="s">
        <v>59</v>
      </c>
      <c r="D40" s="25">
        <v>24837.0</v>
      </c>
      <c r="E40" s="25">
        <v>24638.0</v>
      </c>
      <c r="F40" s="27">
        <f t="shared" si="1"/>
        <v>25235</v>
      </c>
      <c r="G40" s="27">
        <f t="shared" si="2"/>
        <v>199</v>
      </c>
      <c r="H40" s="27">
        <f t="shared" si="5"/>
        <v>2.512562814</v>
      </c>
      <c r="I40" s="25">
        <v>2.0</v>
      </c>
      <c r="J40" s="25">
        <v>65000.0</v>
      </c>
      <c r="K40" s="25" t="s">
        <v>18</v>
      </c>
      <c r="L40" s="27">
        <f t="shared" si="4"/>
        <v>292500</v>
      </c>
    </row>
    <row r="41">
      <c r="A41" s="25">
        <v>34.0</v>
      </c>
      <c r="B41" s="26">
        <v>45933.0</v>
      </c>
      <c r="C41" s="26">
        <v>45967.0</v>
      </c>
      <c r="D41" s="25">
        <v>25020.0</v>
      </c>
      <c r="E41" s="25">
        <v>24878.0</v>
      </c>
      <c r="F41" s="27">
        <f t="shared" si="1"/>
        <v>25304</v>
      </c>
      <c r="G41" s="27">
        <f t="shared" si="2"/>
        <v>142</v>
      </c>
      <c r="H41" s="27">
        <f t="shared" si="5"/>
        <v>3.521126761</v>
      </c>
      <c r="I41" s="25">
        <v>2.0</v>
      </c>
      <c r="J41" s="25">
        <v>65000.0</v>
      </c>
      <c r="K41" s="25" t="s">
        <v>18</v>
      </c>
      <c r="L41" s="27">
        <f t="shared" si="4"/>
        <v>357500</v>
      </c>
    </row>
    <row r="42">
      <c r="A42" s="25">
        <v>35.0</v>
      </c>
      <c r="B42" s="26">
        <v>45987.0</v>
      </c>
      <c r="C42" s="26">
        <v>45999.0</v>
      </c>
      <c r="D42" s="25">
        <v>26392.0</v>
      </c>
      <c r="E42" s="25">
        <v>26085.0</v>
      </c>
      <c r="F42" s="27">
        <f t="shared" si="1"/>
        <v>27006</v>
      </c>
      <c r="G42" s="27">
        <f t="shared" si="2"/>
        <v>307</v>
      </c>
      <c r="H42" s="27">
        <f t="shared" si="5"/>
        <v>1.628664495</v>
      </c>
      <c r="I42" s="25">
        <v>2.0</v>
      </c>
      <c r="J42" s="25">
        <v>-32500.0</v>
      </c>
      <c r="K42" s="25" t="s">
        <v>19</v>
      </c>
      <c r="L42" s="27">
        <f t="shared" si="4"/>
        <v>325000</v>
      </c>
    </row>
    <row r="43">
      <c r="A43" s="25">
        <v>36.0</v>
      </c>
      <c r="B43" s="26">
        <v>46003.0</v>
      </c>
      <c r="C43" s="26">
        <v>46007.0</v>
      </c>
      <c r="D43" s="25">
        <v>26158.0</v>
      </c>
      <c r="E43" s="25">
        <v>26040.0</v>
      </c>
      <c r="F43" s="27">
        <f t="shared" si="1"/>
        <v>26394</v>
      </c>
      <c r="G43" s="27">
        <f t="shared" si="2"/>
        <v>118</v>
      </c>
      <c r="H43" s="27">
        <f t="shared" si="5"/>
        <v>4.237288136</v>
      </c>
      <c r="I43" s="25">
        <v>2.0</v>
      </c>
      <c r="J43" s="25">
        <v>-32500.0</v>
      </c>
      <c r="K43" s="25" t="s">
        <v>19</v>
      </c>
      <c r="L43" s="27">
        <f t="shared" si="4"/>
        <v>292500</v>
      </c>
    </row>
    <row r="44">
      <c r="A44" s="25">
        <v>37.0</v>
      </c>
      <c r="B44" s="26">
        <v>46013.0</v>
      </c>
      <c r="C44" s="26">
        <v>46020.0</v>
      </c>
      <c r="D44" s="25">
        <v>26206.0</v>
      </c>
      <c r="E44" s="25">
        <v>26130.0</v>
      </c>
      <c r="F44" s="27">
        <f t="shared" si="1"/>
        <v>26358</v>
      </c>
      <c r="G44" s="27">
        <f t="shared" si="2"/>
        <v>76</v>
      </c>
      <c r="H44" s="27">
        <f t="shared" si="5"/>
        <v>6.578947368</v>
      </c>
      <c r="I44" s="25">
        <v>2.0</v>
      </c>
      <c r="J44" s="25">
        <v>-32500.0</v>
      </c>
      <c r="K44" s="25" t="s">
        <v>19</v>
      </c>
      <c r="L44" s="27">
        <f t="shared" si="4"/>
        <v>260000</v>
      </c>
    </row>
    <row r="45">
      <c r="A45" s="25">
        <v>38.0</v>
      </c>
      <c r="B45" s="26">
        <v>46022.0</v>
      </c>
      <c r="C45" s="26">
        <v>46030.0</v>
      </c>
      <c r="D45" s="25">
        <v>26325.0</v>
      </c>
      <c r="E45" s="25">
        <v>26130.0</v>
      </c>
      <c r="F45" s="27">
        <f t="shared" si="1"/>
        <v>26715</v>
      </c>
      <c r="G45" s="27">
        <f t="shared" si="2"/>
        <v>195</v>
      </c>
      <c r="H45" s="27">
        <f t="shared" si="5"/>
        <v>2.564102564</v>
      </c>
      <c r="I45" s="25">
        <v>2.0</v>
      </c>
      <c r="J45" s="25">
        <v>-32500.0</v>
      </c>
      <c r="K45" s="25" t="s">
        <v>19</v>
      </c>
      <c r="L45" s="27">
        <f t="shared" si="4"/>
        <v>227500</v>
      </c>
    </row>
    <row r="46">
      <c r="A46" s="25">
        <v>39.0</v>
      </c>
      <c r="B46" s="26">
        <v>46056.0</v>
      </c>
      <c r="C46" s="26">
        <v>46062.0</v>
      </c>
      <c r="D46" s="25">
        <v>26320.0</v>
      </c>
      <c r="E46" s="25">
        <v>25725.0</v>
      </c>
      <c r="F46" s="27">
        <f t="shared" si="1"/>
        <v>27510</v>
      </c>
      <c r="G46" s="27">
        <f t="shared" si="2"/>
        <v>595</v>
      </c>
      <c r="H46" s="25">
        <v>1.0</v>
      </c>
      <c r="I46" s="25">
        <v>2.0</v>
      </c>
      <c r="J46" s="25">
        <v>-32500.0</v>
      </c>
      <c r="K46" s="25" t="s">
        <v>19</v>
      </c>
      <c r="L46" s="27">
        <f t="shared" si="4"/>
        <v>195000</v>
      </c>
    </row>
    <row r="47">
      <c r="A47" s="25">
        <v>40.0</v>
      </c>
      <c r="B47" s="26">
        <v>46213.0</v>
      </c>
      <c r="C47" s="26">
        <v>46217.0</v>
      </c>
      <c r="D47" s="25">
        <v>24270.0</v>
      </c>
      <c r="E47" s="25">
        <v>24140.0</v>
      </c>
      <c r="F47" s="27">
        <f t="shared" si="1"/>
        <v>24530</v>
      </c>
      <c r="G47" s="27">
        <f t="shared" si="2"/>
        <v>130</v>
      </c>
      <c r="H47" s="27">
        <f t="shared" ref="H47:H49" si="6">(500/G47)</f>
        <v>3.846153846</v>
      </c>
      <c r="I47" s="25">
        <v>2.0</v>
      </c>
      <c r="J47" s="25">
        <v>-32500.0</v>
      </c>
      <c r="K47" s="25" t="s">
        <v>19</v>
      </c>
      <c r="L47" s="27">
        <f t="shared" si="4"/>
        <v>162500</v>
      </c>
    </row>
    <row r="48">
      <c r="A48" s="25">
        <v>41.0</v>
      </c>
      <c r="B48" s="26">
        <v>46219.0</v>
      </c>
      <c r="C48" s="26">
        <v>46220.0</v>
      </c>
      <c r="D48" s="25">
        <v>24220.0</v>
      </c>
      <c r="E48" s="25">
        <v>24055.0</v>
      </c>
      <c r="F48" s="27">
        <f t="shared" si="1"/>
        <v>24550</v>
      </c>
      <c r="G48" s="27">
        <f t="shared" si="2"/>
        <v>165</v>
      </c>
      <c r="H48" s="27">
        <f t="shared" si="6"/>
        <v>3.03030303</v>
      </c>
      <c r="I48" s="25">
        <v>2.0</v>
      </c>
      <c r="J48" s="25">
        <v>-32500.0</v>
      </c>
      <c r="K48" s="25" t="s">
        <v>19</v>
      </c>
      <c r="L48" s="27">
        <f t="shared" si="4"/>
        <v>130000</v>
      </c>
    </row>
    <row r="49">
      <c r="A49" s="25">
        <v>42.0</v>
      </c>
      <c r="B49" s="26">
        <v>46232.0</v>
      </c>
      <c r="C49" s="26">
        <v>46251.0</v>
      </c>
      <c r="D49" s="25">
        <v>24346.0</v>
      </c>
      <c r="E49" s="25">
        <v>24222.0</v>
      </c>
      <c r="F49" s="27">
        <f t="shared" si="1"/>
        <v>24594</v>
      </c>
      <c r="G49" s="27">
        <f t="shared" si="2"/>
        <v>124</v>
      </c>
      <c r="H49" s="27">
        <f t="shared" si="6"/>
        <v>4.032258065</v>
      </c>
      <c r="I49" s="25">
        <v>2.0</v>
      </c>
      <c r="J49" s="25">
        <v>65000.0</v>
      </c>
      <c r="K49" s="25" t="s">
        <v>18</v>
      </c>
      <c r="L49" s="27">
        <f t="shared" si="4"/>
        <v>195000</v>
      </c>
    </row>
    <row r="52">
      <c r="H52" s="22" t="s">
        <v>69</v>
      </c>
      <c r="I52" s="22"/>
      <c r="J52" s="32">
        <f>SUM(J8:J49)</f>
        <v>195000</v>
      </c>
    </row>
    <row r="57">
      <c r="B57" s="16"/>
      <c r="C57" s="22" t="s">
        <v>62</v>
      </c>
      <c r="D57" s="22">
        <v>16.0</v>
      </c>
    </row>
    <row r="58">
      <c r="B58" s="16"/>
      <c r="C58" s="22" t="s">
        <v>65</v>
      </c>
      <c r="D58" s="22">
        <v>26.0</v>
      </c>
    </row>
    <row r="61">
      <c r="B61" s="32"/>
      <c r="C61" s="22" t="s">
        <v>73</v>
      </c>
      <c r="D61" s="22" t="s">
        <v>74</v>
      </c>
      <c r="E61" s="32"/>
    </row>
    <row r="63">
      <c r="B63" s="16"/>
      <c r="C63" s="22" t="s">
        <v>73</v>
      </c>
      <c r="D63" s="32">
        <f>(D57*(D57/(D57+D58)))-(D58*(D58/(D57+D58)))</f>
        <v>-10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8" width="14.88"/>
  </cols>
  <sheetData>
    <row r="5">
      <c r="B5" s="21" t="s">
        <v>26</v>
      </c>
      <c r="C5" s="7" t="s">
        <v>7</v>
      </c>
      <c r="D5" s="7" t="s">
        <v>8</v>
      </c>
      <c r="E5" s="7" t="s">
        <v>14</v>
      </c>
      <c r="F5" s="7" t="s">
        <v>35</v>
      </c>
      <c r="G5" s="7" t="s">
        <v>36</v>
      </c>
      <c r="H5" s="7" t="s">
        <v>34</v>
      </c>
    </row>
    <row r="6">
      <c r="B6" s="11">
        <v>1.0</v>
      </c>
      <c r="C6" s="11" t="s">
        <v>17</v>
      </c>
      <c r="D6" s="12">
        <v>41550.0</v>
      </c>
      <c r="E6" s="11">
        <v>1000.0</v>
      </c>
      <c r="F6" s="11" t="s">
        <v>18</v>
      </c>
      <c r="G6" s="11"/>
      <c r="H6" s="11">
        <v>1000.0</v>
      </c>
    </row>
    <row r="7">
      <c r="B7" s="11">
        <v>2.0</v>
      </c>
      <c r="C7" s="11" t="s">
        <v>17</v>
      </c>
      <c r="D7" s="12">
        <v>41688.0</v>
      </c>
      <c r="E7" s="11">
        <v>1000.0</v>
      </c>
      <c r="F7" s="11" t="s">
        <v>18</v>
      </c>
      <c r="G7" s="11"/>
      <c r="H7" s="13">
        <f t="shared" ref="H7:H105" si="1">H6+E7</f>
        <v>2000</v>
      </c>
    </row>
    <row r="8">
      <c r="B8" s="11">
        <v>3.0</v>
      </c>
      <c r="C8" s="11" t="s">
        <v>17</v>
      </c>
      <c r="D8" s="15">
        <v>41780.0</v>
      </c>
      <c r="E8" s="11">
        <v>1000.0</v>
      </c>
      <c r="F8" s="11" t="s">
        <v>18</v>
      </c>
      <c r="G8" s="11"/>
      <c r="H8" s="13">
        <f t="shared" si="1"/>
        <v>3000</v>
      </c>
    </row>
    <row r="9">
      <c r="B9" s="11">
        <v>4.0</v>
      </c>
      <c r="C9" s="11" t="s">
        <v>17</v>
      </c>
      <c r="D9" s="12">
        <v>41808.0</v>
      </c>
      <c r="E9" s="11">
        <v>-500.0</v>
      </c>
      <c r="F9" s="11" t="s">
        <v>19</v>
      </c>
      <c r="G9" s="11"/>
      <c r="H9" s="13">
        <f t="shared" si="1"/>
        <v>2500</v>
      </c>
    </row>
    <row r="10">
      <c r="B10" s="11">
        <v>5.0</v>
      </c>
      <c r="C10" s="11" t="s">
        <v>17</v>
      </c>
      <c r="D10" s="15">
        <v>41822.0</v>
      </c>
      <c r="E10" s="11">
        <v>1000.0</v>
      </c>
      <c r="F10" s="11" t="s">
        <v>18</v>
      </c>
      <c r="G10" s="11"/>
      <c r="H10" s="13">
        <f t="shared" si="1"/>
        <v>3500</v>
      </c>
    </row>
    <row r="11">
      <c r="B11" s="11">
        <v>6.0</v>
      </c>
      <c r="C11" s="11" t="s">
        <v>17</v>
      </c>
      <c r="D11" s="15">
        <v>41859.0</v>
      </c>
      <c r="E11" s="11">
        <v>1000.0</v>
      </c>
      <c r="F11" s="11" t="s">
        <v>18</v>
      </c>
      <c r="G11" s="11"/>
      <c r="H11" s="13">
        <f t="shared" si="1"/>
        <v>4500</v>
      </c>
    </row>
    <row r="12">
      <c r="B12" s="11">
        <v>7.0</v>
      </c>
      <c r="C12" s="11" t="s">
        <v>17</v>
      </c>
      <c r="D12" s="11" t="s">
        <v>20</v>
      </c>
      <c r="E12" s="11">
        <v>1000.0</v>
      </c>
      <c r="F12" s="11" t="s">
        <v>18</v>
      </c>
      <c r="G12" s="11"/>
      <c r="H12" s="13">
        <f t="shared" si="1"/>
        <v>5500</v>
      </c>
    </row>
    <row r="13">
      <c r="B13" s="11">
        <v>8.0</v>
      </c>
      <c r="C13" s="11" t="s">
        <v>17</v>
      </c>
      <c r="D13" s="12">
        <v>41933.0</v>
      </c>
      <c r="E13" s="11">
        <v>1000.0</v>
      </c>
      <c r="F13" s="11" t="s">
        <v>18</v>
      </c>
      <c r="G13" s="11"/>
      <c r="H13" s="13">
        <f t="shared" si="1"/>
        <v>6500</v>
      </c>
    </row>
    <row r="14">
      <c r="B14" s="11">
        <v>9.0</v>
      </c>
      <c r="C14" s="11" t="s">
        <v>17</v>
      </c>
      <c r="D14" s="12">
        <v>42063.0</v>
      </c>
      <c r="E14" s="11">
        <v>-500.0</v>
      </c>
      <c r="F14" s="11" t="s">
        <v>19</v>
      </c>
      <c r="G14" s="11"/>
      <c r="H14" s="13">
        <f t="shared" si="1"/>
        <v>6000</v>
      </c>
    </row>
    <row r="15">
      <c r="B15" s="11">
        <v>10.0</v>
      </c>
      <c r="C15" s="11" t="s">
        <v>17</v>
      </c>
      <c r="D15" s="12">
        <v>42094.0</v>
      </c>
      <c r="E15" s="11">
        <v>1000.0</v>
      </c>
      <c r="F15" s="11" t="s">
        <v>18</v>
      </c>
      <c r="G15" s="11"/>
      <c r="H15" s="13">
        <f t="shared" si="1"/>
        <v>7000</v>
      </c>
    </row>
    <row r="16">
      <c r="B16" s="11">
        <v>11.0</v>
      </c>
      <c r="C16" s="11" t="s">
        <v>17</v>
      </c>
      <c r="D16" s="15">
        <v>42132.0</v>
      </c>
      <c r="E16" s="11">
        <v>-500.0</v>
      </c>
      <c r="F16" s="11" t="s">
        <v>19</v>
      </c>
      <c r="G16" s="11"/>
      <c r="H16" s="13">
        <f t="shared" si="1"/>
        <v>6500</v>
      </c>
    </row>
    <row r="17">
      <c r="B17" s="11">
        <v>12.0</v>
      </c>
      <c r="C17" s="11" t="s">
        <v>17</v>
      </c>
      <c r="D17" s="12">
        <v>42160.0</v>
      </c>
      <c r="E17" s="11">
        <v>1000.0</v>
      </c>
      <c r="F17" s="11" t="s">
        <v>18</v>
      </c>
      <c r="G17" s="11"/>
      <c r="H17" s="13">
        <f t="shared" si="1"/>
        <v>7500</v>
      </c>
    </row>
    <row r="18">
      <c r="B18" s="11">
        <v>13.0</v>
      </c>
      <c r="C18" s="11" t="s">
        <v>17</v>
      </c>
      <c r="D18" s="12">
        <v>42201.0</v>
      </c>
      <c r="E18" s="11">
        <v>-500.0</v>
      </c>
      <c r="F18" s="11" t="s">
        <v>19</v>
      </c>
      <c r="G18" s="11"/>
      <c r="H18" s="13">
        <f t="shared" si="1"/>
        <v>7000</v>
      </c>
    </row>
    <row r="19">
      <c r="B19" s="11">
        <v>14.0</v>
      </c>
      <c r="C19" s="11" t="s">
        <v>17</v>
      </c>
      <c r="D19" s="15">
        <v>42209.0</v>
      </c>
      <c r="E19" s="11">
        <v>1000.0</v>
      </c>
      <c r="F19" s="11" t="s">
        <v>18</v>
      </c>
      <c r="G19" s="11"/>
      <c r="H19" s="13">
        <f t="shared" si="1"/>
        <v>8000</v>
      </c>
    </row>
    <row r="20">
      <c r="B20" s="11">
        <v>15.0</v>
      </c>
      <c r="C20" s="11" t="s">
        <v>17</v>
      </c>
      <c r="D20" s="12">
        <v>42230.0</v>
      </c>
      <c r="E20" s="11">
        <v>-500.0</v>
      </c>
      <c r="F20" s="11" t="s">
        <v>19</v>
      </c>
      <c r="G20" s="11"/>
      <c r="H20" s="13">
        <f t="shared" si="1"/>
        <v>7500</v>
      </c>
    </row>
    <row r="21">
      <c r="B21" s="11">
        <v>16.0</v>
      </c>
      <c r="C21" s="11" t="s">
        <v>17</v>
      </c>
      <c r="D21" s="11" t="s">
        <v>21</v>
      </c>
      <c r="E21" s="11">
        <v>-500.0</v>
      </c>
      <c r="F21" s="11" t="s">
        <v>19</v>
      </c>
      <c r="G21" s="11"/>
      <c r="H21" s="13">
        <f t="shared" si="1"/>
        <v>7000</v>
      </c>
    </row>
    <row r="22">
      <c r="B22" s="11">
        <v>17.0</v>
      </c>
      <c r="C22" s="11" t="s">
        <v>17</v>
      </c>
      <c r="D22" s="11" t="s">
        <v>22</v>
      </c>
      <c r="E22" s="11">
        <v>-500.0</v>
      </c>
      <c r="F22" s="11" t="s">
        <v>19</v>
      </c>
      <c r="G22" s="11"/>
      <c r="H22" s="13">
        <f t="shared" si="1"/>
        <v>6500</v>
      </c>
    </row>
    <row r="23">
      <c r="B23" s="11">
        <v>18.0</v>
      </c>
      <c r="C23" s="11" t="s">
        <v>17</v>
      </c>
      <c r="D23" s="11" t="s">
        <v>23</v>
      </c>
      <c r="E23" s="11">
        <v>-500.0</v>
      </c>
      <c r="F23" s="11" t="s">
        <v>19</v>
      </c>
      <c r="G23" s="11"/>
      <c r="H23" s="13">
        <f t="shared" si="1"/>
        <v>6000</v>
      </c>
    </row>
    <row r="24">
      <c r="B24" s="11">
        <v>19.0</v>
      </c>
      <c r="C24" s="11" t="s">
        <v>17</v>
      </c>
      <c r="D24" s="12">
        <v>42297.0</v>
      </c>
      <c r="E24" s="11">
        <v>-500.0</v>
      </c>
      <c r="F24" s="11" t="s">
        <v>19</v>
      </c>
      <c r="G24" s="11"/>
      <c r="H24" s="13">
        <f t="shared" si="1"/>
        <v>5500</v>
      </c>
    </row>
    <row r="25">
      <c r="B25" s="11">
        <v>20.0</v>
      </c>
      <c r="C25" s="11" t="s">
        <v>17</v>
      </c>
      <c r="D25" s="12">
        <v>42326.0</v>
      </c>
      <c r="E25" s="11">
        <v>1000.0</v>
      </c>
      <c r="F25" s="11" t="s">
        <v>18</v>
      </c>
      <c r="G25" s="11"/>
      <c r="H25" s="13">
        <f t="shared" si="1"/>
        <v>6500</v>
      </c>
    </row>
    <row r="26">
      <c r="B26" s="11">
        <v>21.0</v>
      </c>
      <c r="C26" s="11" t="s">
        <v>17</v>
      </c>
      <c r="D26" s="12">
        <v>42353.0</v>
      </c>
      <c r="E26" s="11">
        <v>1000.0</v>
      </c>
      <c r="F26" s="11" t="s">
        <v>18</v>
      </c>
      <c r="G26" s="11"/>
      <c r="H26" s="13">
        <f t="shared" si="1"/>
        <v>7500</v>
      </c>
    </row>
    <row r="27">
      <c r="B27" s="11">
        <v>22.0</v>
      </c>
      <c r="C27" s="11" t="s">
        <v>17</v>
      </c>
      <c r="D27" s="12">
        <v>42394.0</v>
      </c>
      <c r="E27" s="11">
        <v>-500.0</v>
      </c>
      <c r="F27" s="11" t="s">
        <v>19</v>
      </c>
      <c r="G27" s="11"/>
      <c r="H27" s="13">
        <f t="shared" si="1"/>
        <v>7000</v>
      </c>
    </row>
    <row r="28">
      <c r="B28" s="11">
        <v>23.0</v>
      </c>
      <c r="C28" s="11" t="s">
        <v>17</v>
      </c>
      <c r="D28" s="12">
        <v>42398.0</v>
      </c>
      <c r="E28" s="11">
        <v>-500.0</v>
      </c>
      <c r="F28" s="11" t="s">
        <v>19</v>
      </c>
      <c r="G28" s="11"/>
      <c r="H28" s="13">
        <f t="shared" si="1"/>
        <v>6500</v>
      </c>
    </row>
    <row r="29">
      <c r="B29" s="11">
        <v>24.0</v>
      </c>
      <c r="C29" s="11" t="s">
        <v>17</v>
      </c>
      <c r="D29" s="12">
        <v>42403.0</v>
      </c>
      <c r="E29" s="11">
        <v>-500.0</v>
      </c>
      <c r="F29" s="11" t="s">
        <v>19</v>
      </c>
      <c r="G29" s="11"/>
      <c r="H29" s="13">
        <f t="shared" si="1"/>
        <v>6000</v>
      </c>
    </row>
    <row r="30">
      <c r="B30" s="11">
        <v>25.0</v>
      </c>
      <c r="C30" s="11" t="s">
        <v>17</v>
      </c>
      <c r="D30" s="12">
        <v>42415.0</v>
      </c>
      <c r="E30" s="11">
        <v>-500.0</v>
      </c>
      <c r="F30" s="11" t="s">
        <v>19</v>
      </c>
      <c r="G30" s="11"/>
      <c r="H30" s="13">
        <f t="shared" si="1"/>
        <v>5500</v>
      </c>
    </row>
    <row r="31">
      <c r="B31" s="11">
        <v>26.0</v>
      </c>
      <c r="C31" s="11" t="s">
        <v>17</v>
      </c>
      <c r="D31" s="12">
        <v>42418.0</v>
      </c>
      <c r="E31" s="11">
        <v>-500.0</v>
      </c>
      <c r="F31" s="11" t="s">
        <v>19</v>
      </c>
      <c r="G31" s="11"/>
      <c r="H31" s="13">
        <f t="shared" si="1"/>
        <v>5000</v>
      </c>
    </row>
    <row r="32">
      <c r="B32" s="11">
        <v>27.0</v>
      </c>
      <c r="C32" s="11" t="s">
        <v>17</v>
      </c>
      <c r="D32" s="12">
        <v>42430.0</v>
      </c>
      <c r="E32" s="11">
        <v>1000.0</v>
      </c>
      <c r="F32" s="11" t="s">
        <v>18</v>
      </c>
      <c r="G32" s="11"/>
      <c r="H32" s="13">
        <f t="shared" si="1"/>
        <v>6000</v>
      </c>
    </row>
    <row r="33">
      <c r="B33" s="11">
        <v>28.0</v>
      </c>
      <c r="C33" s="11" t="s">
        <v>17</v>
      </c>
      <c r="D33" s="12">
        <v>42486.0</v>
      </c>
      <c r="E33" s="11">
        <v>-500.0</v>
      </c>
      <c r="F33" s="11" t="s">
        <v>19</v>
      </c>
      <c r="G33" s="11"/>
      <c r="H33" s="13">
        <f t="shared" si="1"/>
        <v>5500</v>
      </c>
    </row>
    <row r="34">
      <c r="B34" s="11">
        <v>29.0</v>
      </c>
      <c r="C34" s="11" t="s">
        <v>17</v>
      </c>
      <c r="D34" s="12">
        <v>42488.0</v>
      </c>
      <c r="E34" s="11">
        <v>-500.0</v>
      </c>
      <c r="F34" s="11" t="s">
        <v>19</v>
      </c>
      <c r="G34" s="11"/>
      <c r="H34" s="13">
        <f t="shared" si="1"/>
        <v>5000</v>
      </c>
    </row>
    <row r="35">
      <c r="B35" s="11">
        <v>30.0</v>
      </c>
      <c r="C35" s="11" t="s">
        <v>17</v>
      </c>
      <c r="D35" s="15">
        <v>42492.0</v>
      </c>
      <c r="E35" s="11">
        <v>-500.0</v>
      </c>
      <c r="F35" s="11" t="s">
        <v>19</v>
      </c>
      <c r="G35" s="11"/>
      <c r="H35" s="13">
        <f t="shared" si="1"/>
        <v>4500</v>
      </c>
    </row>
    <row r="36">
      <c r="B36" s="11">
        <v>31.0</v>
      </c>
      <c r="C36" s="11" t="s">
        <v>17</v>
      </c>
      <c r="D36" s="15">
        <v>42495.0</v>
      </c>
      <c r="E36" s="11">
        <v>1000.0</v>
      </c>
      <c r="F36" s="11" t="s">
        <v>18</v>
      </c>
      <c r="G36" s="11"/>
      <c r="H36" s="13">
        <f t="shared" si="1"/>
        <v>5500</v>
      </c>
    </row>
    <row r="37">
      <c r="B37" s="11">
        <v>32.0</v>
      </c>
      <c r="C37" s="11" t="s">
        <v>17</v>
      </c>
      <c r="D37" s="15">
        <v>42516.0</v>
      </c>
      <c r="E37" s="11">
        <v>1000.0</v>
      </c>
      <c r="F37" s="11" t="s">
        <v>18</v>
      </c>
      <c r="G37" s="11"/>
      <c r="H37" s="13">
        <f t="shared" si="1"/>
        <v>6500</v>
      </c>
    </row>
    <row r="38">
      <c r="B38" s="11">
        <v>33.0</v>
      </c>
      <c r="C38" s="11" t="s">
        <v>17</v>
      </c>
      <c r="D38" s="12">
        <v>42536.0</v>
      </c>
      <c r="E38" s="11">
        <v>-500.0</v>
      </c>
      <c r="F38" s="11" t="s">
        <v>19</v>
      </c>
      <c r="G38" s="11"/>
      <c r="H38" s="13">
        <f t="shared" si="1"/>
        <v>6000</v>
      </c>
    </row>
    <row r="39">
      <c r="B39" s="11">
        <v>34.0</v>
      </c>
      <c r="C39" s="11" t="s">
        <v>17</v>
      </c>
      <c r="D39" s="12">
        <v>42542.0</v>
      </c>
      <c r="E39" s="11">
        <v>-500.0</v>
      </c>
      <c r="F39" s="11" t="s">
        <v>19</v>
      </c>
      <c r="G39" s="11"/>
      <c r="H39" s="13">
        <f t="shared" si="1"/>
        <v>5500</v>
      </c>
    </row>
    <row r="40">
      <c r="B40" s="11">
        <v>35.0</v>
      </c>
      <c r="C40" s="11" t="s">
        <v>17</v>
      </c>
      <c r="D40" s="12">
        <v>42548.0</v>
      </c>
      <c r="E40" s="11">
        <v>1000.0</v>
      </c>
      <c r="F40" s="11" t="s">
        <v>18</v>
      </c>
      <c r="G40" s="11"/>
      <c r="H40" s="13">
        <f t="shared" si="1"/>
        <v>6500</v>
      </c>
    </row>
    <row r="41">
      <c r="B41" s="11">
        <v>36.0</v>
      </c>
      <c r="C41" s="11" t="s">
        <v>17</v>
      </c>
      <c r="D41" s="11" t="s">
        <v>51</v>
      </c>
      <c r="E41" s="11">
        <v>-500.0</v>
      </c>
      <c r="F41" s="11" t="s">
        <v>19</v>
      </c>
      <c r="G41" s="11"/>
      <c r="H41" s="13">
        <f t="shared" si="1"/>
        <v>6000</v>
      </c>
    </row>
    <row r="42">
      <c r="B42" s="11">
        <v>37.0</v>
      </c>
      <c r="C42" s="11" t="s">
        <v>17</v>
      </c>
      <c r="D42" s="12">
        <v>42646.0</v>
      </c>
      <c r="E42" s="11">
        <v>-500.0</v>
      </c>
      <c r="F42" s="11" t="s">
        <v>19</v>
      </c>
      <c r="G42" s="11"/>
      <c r="H42" s="13">
        <f t="shared" si="1"/>
        <v>5500</v>
      </c>
    </row>
    <row r="43">
      <c r="B43" s="11">
        <v>38.0</v>
      </c>
      <c r="C43" s="11" t="s">
        <v>17</v>
      </c>
      <c r="D43" s="12">
        <v>42660.0</v>
      </c>
      <c r="E43" s="11">
        <v>1000.0</v>
      </c>
      <c r="F43" s="11" t="s">
        <v>18</v>
      </c>
      <c r="G43" s="11"/>
      <c r="H43" s="13">
        <f t="shared" si="1"/>
        <v>6500</v>
      </c>
    </row>
    <row r="44">
      <c r="B44" s="11">
        <v>39.0</v>
      </c>
      <c r="C44" s="11" t="s">
        <v>17</v>
      </c>
      <c r="D44" s="12">
        <v>42802.0</v>
      </c>
      <c r="E44" s="11">
        <v>1000.0</v>
      </c>
      <c r="F44" s="11" t="s">
        <v>18</v>
      </c>
      <c r="G44" s="11"/>
      <c r="H44" s="13">
        <f t="shared" si="1"/>
        <v>7500</v>
      </c>
    </row>
    <row r="45">
      <c r="B45" s="11">
        <v>40.0</v>
      </c>
      <c r="C45" s="11" t="s">
        <v>17</v>
      </c>
      <c r="D45" s="15">
        <v>42881.0</v>
      </c>
      <c r="E45" s="11">
        <v>-500.0</v>
      </c>
      <c r="F45" s="11" t="s">
        <v>19</v>
      </c>
      <c r="G45" s="11"/>
      <c r="H45" s="13">
        <f t="shared" si="1"/>
        <v>7000</v>
      </c>
    </row>
    <row r="46">
      <c r="B46" s="11">
        <v>41.0</v>
      </c>
      <c r="C46" s="11" t="s">
        <v>17</v>
      </c>
      <c r="D46" s="12">
        <v>42914.0</v>
      </c>
      <c r="E46" s="11">
        <v>1000.0</v>
      </c>
      <c r="F46" s="11" t="s">
        <v>18</v>
      </c>
      <c r="G46" s="11"/>
      <c r="H46" s="13">
        <f t="shared" si="1"/>
        <v>8000</v>
      </c>
    </row>
    <row r="47">
      <c r="B47" s="11">
        <v>42.0</v>
      </c>
      <c r="C47" s="11" t="s">
        <v>17</v>
      </c>
      <c r="D47" s="12">
        <v>42958.0</v>
      </c>
      <c r="E47" s="11">
        <v>-500.0</v>
      </c>
      <c r="F47" s="11" t="s">
        <v>19</v>
      </c>
      <c r="G47" s="11"/>
      <c r="H47" s="13">
        <f t="shared" si="1"/>
        <v>7500</v>
      </c>
    </row>
    <row r="48">
      <c r="B48" s="11">
        <v>43.0</v>
      </c>
      <c r="C48" s="11" t="s">
        <v>17</v>
      </c>
      <c r="D48" s="12">
        <v>43011.0</v>
      </c>
      <c r="E48" s="11">
        <v>1000.0</v>
      </c>
      <c r="F48" s="11" t="s">
        <v>18</v>
      </c>
      <c r="G48" s="11"/>
      <c r="H48" s="13">
        <f t="shared" si="1"/>
        <v>8500</v>
      </c>
    </row>
    <row r="49">
      <c r="B49" s="11">
        <v>44.0</v>
      </c>
      <c r="C49" s="11" t="s">
        <v>17</v>
      </c>
      <c r="D49" s="12">
        <v>43042.0</v>
      </c>
      <c r="E49" s="11">
        <v>-500.0</v>
      </c>
      <c r="F49" s="11" t="s">
        <v>19</v>
      </c>
      <c r="G49" s="11"/>
      <c r="H49" s="13">
        <f t="shared" si="1"/>
        <v>8000</v>
      </c>
    </row>
    <row r="50">
      <c r="B50" s="11">
        <v>45.0</v>
      </c>
      <c r="C50" s="11" t="s">
        <v>17</v>
      </c>
      <c r="D50" s="12">
        <v>43059.0</v>
      </c>
      <c r="E50" s="11">
        <v>-500.0</v>
      </c>
      <c r="F50" s="11" t="s">
        <v>19</v>
      </c>
      <c r="G50" s="11"/>
      <c r="H50" s="13">
        <f t="shared" si="1"/>
        <v>7500</v>
      </c>
    </row>
    <row r="51">
      <c r="B51" s="11">
        <v>46.0</v>
      </c>
      <c r="C51" s="11" t="s">
        <v>17</v>
      </c>
      <c r="D51" s="12">
        <v>43063.0</v>
      </c>
      <c r="E51" s="11">
        <v>-500.0</v>
      </c>
      <c r="F51" s="11" t="s">
        <v>19</v>
      </c>
      <c r="G51" s="11"/>
      <c r="H51" s="13">
        <f t="shared" si="1"/>
        <v>7000</v>
      </c>
    </row>
    <row r="52">
      <c r="B52" s="11">
        <v>47.0</v>
      </c>
      <c r="C52" s="11" t="s">
        <v>17</v>
      </c>
      <c r="D52" s="12">
        <v>43087.0</v>
      </c>
      <c r="E52" s="11">
        <v>-500.0</v>
      </c>
      <c r="F52" s="11" t="s">
        <v>19</v>
      </c>
      <c r="G52" s="11"/>
      <c r="H52" s="13">
        <f t="shared" si="1"/>
        <v>6500</v>
      </c>
    </row>
    <row r="53">
      <c r="B53" s="11">
        <v>48.0</v>
      </c>
      <c r="C53" s="11" t="s">
        <v>17</v>
      </c>
      <c r="D53" s="12">
        <v>43104.0</v>
      </c>
      <c r="E53" s="11">
        <v>-500.0</v>
      </c>
      <c r="F53" s="11" t="s">
        <v>19</v>
      </c>
      <c r="G53" s="11"/>
      <c r="H53" s="13">
        <f t="shared" si="1"/>
        <v>6000</v>
      </c>
    </row>
    <row r="54">
      <c r="B54" s="11">
        <v>49.0</v>
      </c>
      <c r="C54" s="11" t="s">
        <v>17</v>
      </c>
      <c r="D54" s="15">
        <v>43227.0</v>
      </c>
      <c r="E54" s="11">
        <v>-500.0</v>
      </c>
      <c r="F54" s="11" t="s">
        <v>19</v>
      </c>
      <c r="G54" s="11"/>
      <c r="H54" s="13">
        <f t="shared" si="1"/>
        <v>5500</v>
      </c>
    </row>
    <row r="55">
      <c r="B55" s="11">
        <v>50.0</v>
      </c>
      <c r="C55" s="11" t="s">
        <v>17</v>
      </c>
      <c r="D55" s="15">
        <v>43235.0</v>
      </c>
      <c r="E55" s="11">
        <v>1000.0</v>
      </c>
      <c r="F55" s="11" t="s">
        <v>18</v>
      </c>
      <c r="G55" s="11"/>
      <c r="H55" s="13">
        <f t="shared" si="1"/>
        <v>6500</v>
      </c>
    </row>
    <row r="56">
      <c r="B56" s="11">
        <v>51.0</v>
      </c>
      <c r="C56" s="11" t="s">
        <v>17</v>
      </c>
      <c r="D56" s="12">
        <v>43419.0</v>
      </c>
      <c r="E56" s="11">
        <v>1000.0</v>
      </c>
      <c r="F56" s="11" t="s">
        <v>18</v>
      </c>
      <c r="G56" s="11"/>
      <c r="H56" s="13">
        <f t="shared" si="1"/>
        <v>7500</v>
      </c>
    </row>
    <row r="57">
      <c r="B57" s="11">
        <v>52.0</v>
      </c>
      <c r="C57" s="11" t="s">
        <v>17</v>
      </c>
      <c r="D57" s="12">
        <v>44126.0</v>
      </c>
      <c r="E57" s="11">
        <v>-500.0</v>
      </c>
      <c r="F57" s="11" t="s">
        <v>19</v>
      </c>
      <c r="G57" s="11"/>
      <c r="H57" s="13">
        <f t="shared" si="1"/>
        <v>7000</v>
      </c>
    </row>
    <row r="58">
      <c r="B58" s="11">
        <v>53.0</v>
      </c>
      <c r="C58" s="11" t="s">
        <v>17</v>
      </c>
      <c r="D58" s="12">
        <v>44131.0</v>
      </c>
      <c r="E58" s="11">
        <v>-500.0</v>
      </c>
      <c r="F58" s="11" t="s">
        <v>19</v>
      </c>
      <c r="G58" s="11"/>
      <c r="H58" s="13">
        <f t="shared" si="1"/>
        <v>6500</v>
      </c>
    </row>
    <row r="59">
      <c r="B59" s="11">
        <v>54.0</v>
      </c>
      <c r="C59" s="11" t="s">
        <v>17</v>
      </c>
      <c r="D59" s="12">
        <v>44137.0</v>
      </c>
      <c r="E59" s="11">
        <v>1000.0</v>
      </c>
      <c r="F59" s="11" t="s">
        <v>18</v>
      </c>
      <c r="G59" s="11"/>
      <c r="H59" s="13">
        <f t="shared" si="1"/>
        <v>7500</v>
      </c>
    </row>
    <row r="60">
      <c r="B60" s="11">
        <v>55.0</v>
      </c>
      <c r="C60" s="11" t="s">
        <v>17</v>
      </c>
      <c r="D60" s="12">
        <v>44203.0</v>
      </c>
      <c r="E60" s="11">
        <v>-500.0</v>
      </c>
      <c r="F60" s="11" t="s">
        <v>19</v>
      </c>
      <c r="G60" s="11"/>
      <c r="H60" s="13">
        <f t="shared" si="1"/>
        <v>7000</v>
      </c>
    </row>
    <row r="61">
      <c r="B61" s="11">
        <v>56.0</v>
      </c>
      <c r="C61" s="11" t="s">
        <v>17</v>
      </c>
      <c r="D61" s="12">
        <v>44217.0</v>
      </c>
      <c r="E61" s="11">
        <v>-500.0</v>
      </c>
      <c r="F61" s="11" t="s">
        <v>19</v>
      </c>
      <c r="G61" s="11"/>
      <c r="H61" s="13">
        <f t="shared" si="1"/>
        <v>6500</v>
      </c>
    </row>
    <row r="62">
      <c r="B62" s="11">
        <v>57.0</v>
      </c>
      <c r="C62" s="11" t="s">
        <v>17</v>
      </c>
      <c r="D62" s="15">
        <v>44228.0</v>
      </c>
      <c r="E62" s="11">
        <v>1000.0</v>
      </c>
      <c r="F62" s="11" t="s">
        <v>18</v>
      </c>
      <c r="G62" s="11"/>
      <c r="H62" s="13">
        <f t="shared" si="1"/>
        <v>7500</v>
      </c>
    </row>
    <row r="63">
      <c r="B63" s="11">
        <v>58.0</v>
      </c>
      <c r="C63" s="11" t="s">
        <v>17</v>
      </c>
      <c r="D63" s="30">
        <v>44251.0</v>
      </c>
      <c r="E63" s="11">
        <v>-500.0</v>
      </c>
      <c r="F63" s="11" t="s">
        <v>19</v>
      </c>
      <c r="G63" s="11"/>
      <c r="H63" s="13">
        <f t="shared" si="1"/>
        <v>7000</v>
      </c>
    </row>
    <row r="64">
      <c r="B64" s="11">
        <v>59.0</v>
      </c>
      <c r="C64" s="11" t="s">
        <v>17</v>
      </c>
      <c r="D64" s="12">
        <v>44258.0</v>
      </c>
      <c r="E64" s="11">
        <v>-500.0</v>
      </c>
      <c r="F64" s="11" t="s">
        <v>19</v>
      </c>
      <c r="G64" s="11"/>
      <c r="H64" s="13">
        <f t="shared" si="1"/>
        <v>6500</v>
      </c>
    </row>
    <row r="65">
      <c r="B65" s="11">
        <v>60.0</v>
      </c>
      <c r="C65" s="11" t="s">
        <v>17</v>
      </c>
      <c r="D65" s="12">
        <v>44264.0</v>
      </c>
      <c r="E65" s="11">
        <v>1000.0</v>
      </c>
      <c r="F65" s="11" t="s">
        <v>18</v>
      </c>
      <c r="G65" s="11"/>
      <c r="H65" s="13">
        <f t="shared" si="1"/>
        <v>7500</v>
      </c>
    </row>
    <row r="66">
      <c r="B66" s="11">
        <v>61.0</v>
      </c>
      <c r="C66" s="11" t="s">
        <v>17</v>
      </c>
      <c r="D66" s="12">
        <v>44274.0</v>
      </c>
      <c r="E66" s="11">
        <v>-500.0</v>
      </c>
      <c r="F66" s="11" t="s">
        <v>19</v>
      </c>
      <c r="G66" s="11"/>
      <c r="H66" s="13">
        <f t="shared" si="1"/>
        <v>7000</v>
      </c>
    </row>
    <row r="67">
      <c r="B67" s="11">
        <v>62.0</v>
      </c>
      <c r="C67" s="11" t="s">
        <v>17</v>
      </c>
      <c r="D67" s="15">
        <v>44313.0</v>
      </c>
      <c r="E67" s="11">
        <v>1000.0</v>
      </c>
      <c r="F67" s="11" t="s">
        <v>18</v>
      </c>
      <c r="G67" s="11"/>
      <c r="H67" s="13">
        <f t="shared" si="1"/>
        <v>8000</v>
      </c>
    </row>
    <row r="68">
      <c r="B68" s="11">
        <v>63.0</v>
      </c>
      <c r="C68" s="11" t="s">
        <v>17</v>
      </c>
      <c r="D68" s="12">
        <v>44379.0</v>
      </c>
      <c r="E68" s="11">
        <v>1000.0</v>
      </c>
      <c r="F68" s="11" t="s">
        <v>18</v>
      </c>
      <c r="G68" s="11"/>
      <c r="H68" s="13">
        <f t="shared" si="1"/>
        <v>9000</v>
      </c>
    </row>
    <row r="69">
      <c r="B69" s="11">
        <v>64.0</v>
      </c>
      <c r="C69" s="11" t="s">
        <v>17</v>
      </c>
      <c r="D69" s="12">
        <v>44399.0</v>
      </c>
      <c r="E69" s="11">
        <v>-500.0</v>
      </c>
      <c r="F69" s="11" t="s">
        <v>19</v>
      </c>
      <c r="G69" s="11"/>
      <c r="H69" s="13">
        <f t="shared" si="1"/>
        <v>8500</v>
      </c>
    </row>
    <row r="70">
      <c r="B70" s="11">
        <v>65.0</v>
      </c>
      <c r="C70" s="11" t="s">
        <v>17</v>
      </c>
      <c r="D70" s="12">
        <v>44420.0</v>
      </c>
      <c r="E70" s="11">
        <v>-500.0</v>
      </c>
      <c r="F70" s="11" t="s">
        <v>19</v>
      </c>
      <c r="G70" s="11"/>
      <c r="H70" s="13">
        <f t="shared" si="1"/>
        <v>8000</v>
      </c>
    </row>
    <row r="71">
      <c r="B71" s="11">
        <v>66.0</v>
      </c>
      <c r="C71" s="11" t="s">
        <v>17</v>
      </c>
      <c r="D71" s="12">
        <v>44424.0</v>
      </c>
      <c r="E71" s="11">
        <v>1000.0</v>
      </c>
      <c r="F71" s="11" t="s">
        <v>18</v>
      </c>
      <c r="G71" s="11"/>
      <c r="H71" s="13">
        <f t="shared" si="1"/>
        <v>9000</v>
      </c>
    </row>
    <row r="72">
      <c r="B72" s="11">
        <v>67.0</v>
      </c>
      <c r="C72" s="11" t="s">
        <v>17</v>
      </c>
      <c r="D72" s="12">
        <v>44495.0</v>
      </c>
      <c r="E72" s="11">
        <v>-500.0</v>
      </c>
      <c r="F72" s="11" t="s">
        <v>19</v>
      </c>
      <c r="G72" s="11"/>
      <c r="H72" s="13">
        <f t="shared" si="1"/>
        <v>8500</v>
      </c>
    </row>
    <row r="73">
      <c r="B73" s="11">
        <v>68.0</v>
      </c>
      <c r="C73" s="11" t="s">
        <v>17</v>
      </c>
      <c r="D73" s="12">
        <v>44508.0</v>
      </c>
      <c r="E73" s="11">
        <v>-500.0</v>
      </c>
      <c r="F73" s="11" t="s">
        <v>19</v>
      </c>
      <c r="G73" s="11"/>
      <c r="H73" s="13">
        <f t="shared" si="1"/>
        <v>8000</v>
      </c>
    </row>
    <row r="74">
      <c r="B74" s="11">
        <v>69.0</v>
      </c>
      <c r="C74" s="11" t="s">
        <v>17</v>
      </c>
      <c r="D74" s="30">
        <v>44517.0</v>
      </c>
      <c r="E74" s="11">
        <v>-500.0</v>
      </c>
      <c r="F74" s="11" t="s">
        <v>19</v>
      </c>
      <c r="G74" s="11"/>
      <c r="H74" s="13">
        <f t="shared" si="1"/>
        <v>7500</v>
      </c>
    </row>
    <row r="75">
      <c r="B75" s="11">
        <v>70.0</v>
      </c>
      <c r="C75" s="11" t="s">
        <v>17</v>
      </c>
      <c r="D75" s="12">
        <v>44538.0</v>
      </c>
      <c r="E75" s="11">
        <v>-500.0</v>
      </c>
      <c r="F75" s="11" t="s">
        <v>19</v>
      </c>
      <c r="G75" s="11"/>
      <c r="H75" s="13">
        <f t="shared" si="1"/>
        <v>7000</v>
      </c>
    </row>
    <row r="76">
      <c r="B76" s="11">
        <v>71.0</v>
      </c>
      <c r="C76" s="11" t="s">
        <v>17</v>
      </c>
      <c r="D76" s="12">
        <v>44564.0</v>
      </c>
      <c r="E76" s="11">
        <v>1000.0</v>
      </c>
      <c r="F76" s="11" t="s">
        <v>18</v>
      </c>
      <c r="G76" s="11"/>
      <c r="H76" s="13">
        <f t="shared" si="1"/>
        <v>8000</v>
      </c>
    </row>
    <row r="77">
      <c r="B77" s="11">
        <v>72.0</v>
      </c>
      <c r="C77" s="11" t="s">
        <v>17</v>
      </c>
      <c r="D77" s="12">
        <v>44803.0</v>
      </c>
      <c r="E77" s="11">
        <v>-500.0</v>
      </c>
      <c r="F77" s="11" t="s">
        <v>19</v>
      </c>
      <c r="G77" s="11"/>
      <c r="H77" s="13">
        <f t="shared" si="1"/>
        <v>7500</v>
      </c>
    </row>
    <row r="78">
      <c r="B78" s="11">
        <v>73.0</v>
      </c>
      <c r="C78" s="11" t="s">
        <v>17</v>
      </c>
      <c r="D78" s="11" t="s">
        <v>71</v>
      </c>
      <c r="E78" s="11">
        <v>-500.0</v>
      </c>
      <c r="F78" s="11" t="s">
        <v>19</v>
      </c>
      <c r="G78" s="11"/>
      <c r="H78" s="13">
        <f t="shared" si="1"/>
        <v>7000</v>
      </c>
    </row>
    <row r="79">
      <c r="B79" s="11">
        <v>74.0</v>
      </c>
      <c r="C79" s="11" t="s">
        <v>17</v>
      </c>
      <c r="D79" s="12">
        <v>44838.0</v>
      </c>
      <c r="E79" s="11">
        <v>-500.0</v>
      </c>
      <c r="F79" s="11" t="s">
        <v>19</v>
      </c>
      <c r="G79" s="11"/>
      <c r="H79" s="13">
        <f t="shared" si="1"/>
        <v>6500</v>
      </c>
    </row>
    <row r="80">
      <c r="B80" s="11">
        <v>75.0</v>
      </c>
      <c r="C80" s="11" t="s">
        <v>17</v>
      </c>
      <c r="D80" s="12">
        <v>44851.0</v>
      </c>
      <c r="E80" s="11">
        <v>-500.0</v>
      </c>
      <c r="F80" s="11" t="s">
        <v>19</v>
      </c>
      <c r="G80" s="11"/>
      <c r="H80" s="13">
        <f t="shared" si="1"/>
        <v>6000</v>
      </c>
    </row>
    <row r="81">
      <c r="B81" s="11">
        <v>76.0</v>
      </c>
      <c r="C81" s="11" t="s">
        <v>17</v>
      </c>
      <c r="D81" s="12">
        <v>44869.0</v>
      </c>
      <c r="E81" s="11">
        <v>-500.0</v>
      </c>
      <c r="F81" s="11" t="s">
        <v>19</v>
      </c>
      <c r="G81" s="11"/>
      <c r="H81" s="13">
        <f t="shared" si="1"/>
        <v>5500</v>
      </c>
    </row>
    <row r="82">
      <c r="B82" s="11">
        <v>77.0</v>
      </c>
      <c r="C82" s="11" t="s">
        <v>17</v>
      </c>
      <c r="D82" s="12">
        <v>45105.0</v>
      </c>
      <c r="E82" s="11">
        <v>1000.0</v>
      </c>
      <c r="F82" s="11" t="s">
        <v>18</v>
      </c>
      <c r="G82" s="11"/>
      <c r="H82" s="13">
        <f t="shared" si="1"/>
        <v>6500</v>
      </c>
    </row>
    <row r="83">
      <c r="B83" s="11">
        <v>78.0</v>
      </c>
      <c r="C83" s="11" t="s">
        <v>17</v>
      </c>
      <c r="D83" s="12">
        <v>45163.0</v>
      </c>
      <c r="E83" s="11">
        <v>-500.0</v>
      </c>
      <c r="F83" s="11" t="s">
        <v>19</v>
      </c>
      <c r="G83" s="11"/>
      <c r="H83" s="13">
        <f t="shared" si="1"/>
        <v>6000</v>
      </c>
    </row>
    <row r="84">
      <c r="B84" s="11">
        <v>79.0</v>
      </c>
      <c r="C84" s="11" t="s">
        <v>17</v>
      </c>
      <c r="D84" s="11" t="s">
        <v>48</v>
      </c>
      <c r="E84" s="11">
        <v>1000.0</v>
      </c>
      <c r="F84" s="11" t="s">
        <v>18</v>
      </c>
      <c r="G84" s="11"/>
      <c r="H84" s="13">
        <f t="shared" si="1"/>
        <v>7000</v>
      </c>
    </row>
    <row r="85">
      <c r="B85" s="11">
        <v>80.0</v>
      </c>
      <c r="C85" s="11" t="s">
        <v>17</v>
      </c>
      <c r="D85" s="12">
        <v>45272.0</v>
      </c>
      <c r="E85" s="11">
        <v>-500.0</v>
      </c>
      <c r="F85" s="11" t="s">
        <v>19</v>
      </c>
      <c r="G85" s="11"/>
      <c r="H85" s="13">
        <f t="shared" si="1"/>
        <v>6500</v>
      </c>
    </row>
    <row r="86">
      <c r="B86" s="11">
        <v>81.0</v>
      </c>
      <c r="C86" s="11" t="s">
        <v>17</v>
      </c>
      <c r="D86" s="12">
        <v>45274.0</v>
      </c>
      <c r="E86" s="11">
        <v>-500.0</v>
      </c>
      <c r="F86" s="11" t="s">
        <v>19</v>
      </c>
      <c r="G86" s="11"/>
      <c r="H86" s="13">
        <f t="shared" si="1"/>
        <v>6000</v>
      </c>
    </row>
    <row r="87">
      <c r="B87" s="11">
        <v>82.0</v>
      </c>
      <c r="C87" s="11" t="s">
        <v>17</v>
      </c>
      <c r="D87" s="30">
        <v>45293.0</v>
      </c>
      <c r="E87" s="11">
        <v>1000.0</v>
      </c>
      <c r="F87" s="11" t="s">
        <v>18</v>
      </c>
      <c r="G87" s="11"/>
      <c r="H87" s="13">
        <f t="shared" si="1"/>
        <v>7000</v>
      </c>
    </row>
    <row r="88">
      <c r="B88" s="11">
        <v>83.0</v>
      </c>
      <c r="C88" s="11" t="s">
        <v>17</v>
      </c>
      <c r="D88" s="12">
        <v>45467.0</v>
      </c>
      <c r="E88" s="11">
        <v>1000.0</v>
      </c>
      <c r="F88" s="11" t="s">
        <v>18</v>
      </c>
      <c r="G88" s="11"/>
      <c r="H88" s="13">
        <f t="shared" si="1"/>
        <v>8000</v>
      </c>
    </row>
    <row r="89">
      <c r="B89" s="11">
        <v>84.0</v>
      </c>
      <c r="C89" s="11" t="s">
        <v>17</v>
      </c>
      <c r="D89" s="30">
        <v>45478.0</v>
      </c>
      <c r="E89" s="11">
        <v>-500.0</v>
      </c>
      <c r="F89" s="11" t="s">
        <v>19</v>
      </c>
      <c r="G89" s="11"/>
      <c r="H89" s="13">
        <f t="shared" si="1"/>
        <v>7500</v>
      </c>
    </row>
    <row r="90">
      <c r="B90" s="11">
        <v>85.0</v>
      </c>
      <c r="C90" s="11" t="s">
        <v>17</v>
      </c>
      <c r="D90" s="12">
        <v>45658.0</v>
      </c>
      <c r="E90" s="11">
        <v>1000.0</v>
      </c>
      <c r="F90" s="11" t="s">
        <v>18</v>
      </c>
      <c r="G90" s="11"/>
      <c r="H90" s="13">
        <f t="shared" si="1"/>
        <v>8500</v>
      </c>
    </row>
    <row r="91">
      <c r="B91" s="11">
        <v>86.0</v>
      </c>
      <c r="C91" s="11" t="s">
        <v>17</v>
      </c>
      <c r="D91" s="12">
        <v>45722.0</v>
      </c>
      <c r="E91" s="11">
        <v>-500.0</v>
      </c>
      <c r="F91" s="11" t="s">
        <v>19</v>
      </c>
      <c r="G91" s="11"/>
      <c r="H91" s="13">
        <f t="shared" si="1"/>
        <v>8000</v>
      </c>
    </row>
    <row r="92">
      <c r="B92" s="11">
        <v>87.0</v>
      </c>
      <c r="C92" s="11" t="s">
        <v>17</v>
      </c>
      <c r="D92" s="12">
        <v>45728.0</v>
      </c>
      <c r="E92" s="11">
        <v>1000.0</v>
      </c>
      <c r="F92" s="11" t="s">
        <v>18</v>
      </c>
      <c r="G92" s="11"/>
      <c r="H92" s="13">
        <f t="shared" si="1"/>
        <v>9000</v>
      </c>
    </row>
    <row r="93">
      <c r="B93" s="11">
        <v>88.0</v>
      </c>
      <c r="C93" s="11" t="s">
        <v>17</v>
      </c>
      <c r="D93" s="12">
        <v>45751.0</v>
      </c>
      <c r="E93" s="11">
        <v>-500.0</v>
      </c>
      <c r="F93" s="11" t="s">
        <v>19</v>
      </c>
      <c r="G93" s="11"/>
      <c r="H93" s="13">
        <f t="shared" si="1"/>
        <v>8500</v>
      </c>
    </row>
    <row r="94">
      <c r="B94" s="11">
        <v>89.0</v>
      </c>
      <c r="C94" s="11" t="s">
        <v>17</v>
      </c>
      <c r="D94" s="12">
        <v>45755.0</v>
      </c>
      <c r="E94" s="11">
        <v>1000.0</v>
      </c>
      <c r="F94" s="11" t="s">
        <v>18</v>
      </c>
      <c r="G94" s="11"/>
      <c r="H94" s="13">
        <f t="shared" si="1"/>
        <v>9500</v>
      </c>
    </row>
    <row r="95">
      <c r="B95" s="11">
        <v>90.0</v>
      </c>
      <c r="C95" s="11" t="s">
        <v>17</v>
      </c>
      <c r="D95" s="15">
        <v>45784.0</v>
      </c>
      <c r="E95" s="11">
        <v>-500.0</v>
      </c>
      <c r="F95" s="11" t="s">
        <v>19</v>
      </c>
      <c r="G95" s="11"/>
      <c r="H95" s="13">
        <f t="shared" si="1"/>
        <v>9000</v>
      </c>
    </row>
    <row r="96">
      <c r="B96" s="11">
        <v>91.0</v>
      </c>
      <c r="C96" s="11" t="s">
        <v>17</v>
      </c>
      <c r="D96" s="15">
        <v>45789.0</v>
      </c>
      <c r="E96" s="11">
        <v>-500.0</v>
      </c>
      <c r="F96" s="11" t="s">
        <v>19</v>
      </c>
      <c r="G96" s="11"/>
      <c r="H96" s="13">
        <f t="shared" si="1"/>
        <v>8500</v>
      </c>
    </row>
    <row r="97">
      <c r="B97" s="11">
        <v>92.0</v>
      </c>
      <c r="C97" s="11" t="s">
        <v>17</v>
      </c>
      <c r="D97" s="15">
        <v>45814.0</v>
      </c>
      <c r="E97" s="11">
        <v>-500.0</v>
      </c>
      <c r="F97" s="11" t="s">
        <v>19</v>
      </c>
      <c r="G97" s="11"/>
      <c r="H97" s="13">
        <f t="shared" si="1"/>
        <v>8000</v>
      </c>
    </row>
    <row r="98">
      <c r="B98" s="11">
        <v>93.0</v>
      </c>
      <c r="C98" s="11" t="s">
        <v>17</v>
      </c>
      <c r="D98" s="15">
        <v>45833.0</v>
      </c>
      <c r="E98" s="11">
        <v>1000.0</v>
      </c>
      <c r="F98" s="11" t="s">
        <v>18</v>
      </c>
      <c r="G98" s="11"/>
      <c r="H98" s="13">
        <f t="shared" si="1"/>
        <v>9000</v>
      </c>
    </row>
    <row r="99">
      <c r="B99" s="11">
        <v>94.0</v>
      </c>
      <c r="C99" s="11" t="s">
        <v>17</v>
      </c>
      <c r="D99" s="15">
        <v>45846.0</v>
      </c>
      <c r="E99" s="11">
        <v>1000.0</v>
      </c>
      <c r="F99" s="11" t="s">
        <v>18</v>
      </c>
      <c r="G99" s="11"/>
      <c r="H99" s="13">
        <f t="shared" si="1"/>
        <v>10000</v>
      </c>
    </row>
    <row r="100">
      <c r="B100" s="11">
        <v>95.0</v>
      </c>
      <c r="C100" s="11" t="s">
        <v>17</v>
      </c>
      <c r="D100" s="15">
        <v>45856.0</v>
      </c>
      <c r="E100" s="11">
        <v>-500.0</v>
      </c>
      <c r="F100" s="11" t="s">
        <v>19</v>
      </c>
      <c r="G100" s="11"/>
      <c r="H100" s="13">
        <f t="shared" si="1"/>
        <v>9500</v>
      </c>
    </row>
    <row r="101">
      <c r="B101" s="11">
        <v>96.0</v>
      </c>
      <c r="C101" s="11" t="s">
        <v>17</v>
      </c>
      <c r="D101" s="12">
        <v>45887.0</v>
      </c>
      <c r="E101" s="11">
        <v>-500.0</v>
      </c>
      <c r="F101" s="11" t="s">
        <v>19</v>
      </c>
      <c r="G101" s="11"/>
      <c r="H101" s="13">
        <f t="shared" si="1"/>
        <v>9000</v>
      </c>
    </row>
    <row r="102">
      <c r="B102" s="11">
        <v>97.0</v>
      </c>
      <c r="C102" s="11" t="s">
        <v>17</v>
      </c>
      <c r="D102" s="12">
        <v>45965.0</v>
      </c>
      <c r="E102" s="11">
        <v>-500.0</v>
      </c>
      <c r="F102" s="11" t="s">
        <v>19</v>
      </c>
      <c r="G102" s="11"/>
      <c r="H102" s="13">
        <f t="shared" si="1"/>
        <v>8500</v>
      </c>
    </row>
    <row r="103">
      <c r="B103" s="11">
        <v>98.0</v>
      </c>
      <c r="C103" s="11" t="s">
        <v>17</v>
      </c>
      <c r="D103" s="12">
        <v>45988.0</v>
      </c>
      <c r="E103" s="11">
        <v>-500.0</v>
      </c>
      <c r="F103" s="11" t="s">
        <v>19</v>
      </c>
      <c r="G103" s="11"/>
      <c r="H103" s="13">
        <f t="shared" si="1"/>
        <v>8000</v>
      </c>
    </row>
    <row r="104">
      <c r="B104" s="11">
        <v>99.0</v>
      </c>
      <c r="C104" s="11" t="s">
        <v>17</v>
      </c>
      <c r="D104" s="12">
        <v>45993.0</v>
      </c>
      <c r="E104" s="11">
        <v>-500.0</v>
      </c>
      <c r="F104" s="11" t="s">
        <v>19</v>
      </c>
      <c r="G104" s="11"/>
      <c r="H104" s="13">
        <f t="shared" si="1"/>
        <v>7500</v>
      </c>
    </row>
    <row r="105">
      <c r="B105" s="11">
        <v>100.0</v>
      </c>
      <c r="C105" s="11" t="s">
        <v>17</v>
      </c>
      <c r="D105" s="12">
        <v>45995.0</v>
      </c>
      <c r="E105" s="11">
        <v>-500.0</v>
      </c>
      <c r="F105" s="11" t="s">
        <v>19</v>
      </c>
      <c r="G105" s="11"/>
      <c r="H105" s="13">
        <f t="shared" si="1"/>
        <v>7000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24.25"/>
    <col customWidth="1" min="9" max="9" width="16.13"/>
    <col customWidth="1" min="13" max="13" width="16.75"/>
    <col customWidth="1" min="14" max="14" width="19.88"/>
  </cols>
  <sheetData>
    <row r="1">
      <c r="B1" s="1" t="s">
        <v>0</v>
      </c>
      <c r="C1" s="2" t="s">
        <v>1</v>
      </c>
      <c r="D1" s="3"/>
      <c r="E1" s="3"/>
      <c r="F1" s="3"/>
      <c r="H1" s="1" t="s">
        <v>25</v>
      </c>
      <c r="I1" s="18"/>
      <c r="J1" s="18"/>
    </row>
    <row r="2">
      <c r="C2" s="2" t="s">
        <v>2</v>
      </c>
      <c r="D2" s="3"/>
      <c r="E2" s="2"/>
      <c r="F2" s="3"/>
    </row>
    <row r="3">
      <c r="C3" s="2" t="s">
        <v>27</v>
      </c>
      <c r="D3" s="3"/>
      <c r="E3" s="3"/>
      <c r="F3" s="3"/>
    </row>
    <row r="4">
      <c r="C4" s="2" t="s">
        <v>4</v>
      </c>
      <c r="D4" s="3"/>
      <c r="E4" s="3"/>
      <c r="F4" s="3"/>
    </row>
    <row r="5">
      <c r="B5" s="6"/>
      <c r="C5" s="6" t="s">
        <v>28</v>
      </c>
      <c r="D5" s="6"/>
      <c r="E5" s="6"/>
      <c r="F5" s="6"/>
    </row>
    <row r="7">
      <c r="B7" s="22" t="s">
        <v>6</v>
      </c>
      <c r="C7" s="22" t="s">
        <v>29</v>
      </c>
      <c r="D7" s="22" t="s">
        <v>30</v>
      </c>
      <c r="E7" s="22" t="s">
        <v>9</v>
      </c>
      <c r="F7" s="22" t="s">
        <v>10</v>
      </c>
      <c r="G7" s="22" t="s">
        <v>11</v>
      </c>
      <c r="H7" s="22" t="s">
        <v>31</v>
      </c>
      <c r="I7" s="22" t="s">
        <v>32</v>
      </c>
      <c r="J7" s="22" t="s">
        <v>12</v>
      </c>
      <c r="K7" s="22" t="s">
        <v>13</v>
      </c>
      <c r="L7" s="22" t="s">
        <v>14</v>
      </c>
      <c r="M7" s="17" t="s">
        <v>33</v>
      </c>
      <c r="N7" s="22" t="s">
        <v>34</v>
      </c>
      <c r="O7" s="22" t="s">
        <v>16</v>
      </c>
    </row>
    <row r="8">
      <c r="A8" s="13"/>
      <c r="B8" s="11">
        <v>1.0</v>
      </c>
      <c r="C8" s="11" t="s">
        <v>37</v>
      </c>
      <c r="D8" s="11" t="s">
        <v>38</v>
      </c>
      <c r="E8" s="11">
        <v>13.0</v>
      </c>
      <c r="F8" s="11">
        <v>11.0</v>
      </c>
      <c r="G8" s="11">
        <f t="shared" ref="G8:G33" si="1">(E8-F8)*2+E8</f>
        <v>17</v>
      </c>
      <c r="H8" s="11">
        <v>17.0</v>
      </c>
      <c r="I8" s="11">
        <v>48.0</v>
      </c>
      <c r="J8" s="13">
        <f t="shared" ref="J8:J33" si="2">(E8-F8)</f>
        <v>2</v>
      </c>
      <c r="K8" s="13">
        <f t="shared" ref="K8:K9" si="3">(500/J8)</f>
        <v>250</v>
      </c>
      <c r="L8" s="13">
        <f t="shared" ref="L8:L33" si="4">(H8-E8)*K8/2+(I8-E8)*K8/2</f>
        <v>4875</v>
      </c>
      <c r="M8" s="11" t="s">
        <v>40</v>
      </c>
      <c r="N8" s="11">
        <f>(L8)</f>
        <v>4875</v>
      </c>
      <c r="O8" s="13">
        <f t="shared" ref="O8:O33" si="5">(L8/K8)</f>
        <v>19.5</v>
      </c>
    </row>
    <row r="9">
      <c r="A9" s="13"/>
      <c r="B9" s="11">
        <v>2.0</v>
      </c>
      <c r="C9" s="11" t="s">
        <v>41</v>
      </c>
      <c r="D9" s="12">
        <v>42675.0</v>
      </c>
      <c r="E9" s="11">
        <v>52.0</v>
      </c>
      <c r="F9" s="11">
        <v>47.0</v>
      </c>
      <c r="G9" s="11">
        <f t="shared" si="1"/>
        <v>62</v>
      </c>
      <c r="H9" s="11">
        <v>62.0</v>
      </c>
      <c r="I9" s="11">
        <v>99.0</v>
      </c>
      <c r="J9" s="13">
        <f t="shared" si="2"/>
        <v>5</v>
      </c>
      <c r="K9" s="13">
        <f t="shared" si="3"/>
        <v>100</v>
      </c>
      <c r="L9" s="13">
        <f t="shared" si="4"/>
        <v>2850</v>
      </c>
      <c r="M9" s="11" t="s">
        <v>40</v>
      </c>
      <c r="N9" s="13">
        <f t="shared" ref="N9:N33" si="6">(N8+L9)</f>
        <v>7725</v>
      </c>
      <c r="O9" s="13">
        <f t="shared" si="5"/>
        <v>28.5</v>
      </c>
    </row>
    <row r="10">
      <c r="A10" s="13"/>
      <c r="B10" s="11">
        <v>3.0</v>
      </c>
      <c r="C10" s="12">
        <v>42758.0</v>
      </c>
      <c r="D10" s="12">
        <v>43066.0</v>
      </c>
      <c r="E10" s="11">
        <v>102.0</v>
      </c>
      <c r="F10" s="11">
        <v>90.0</v>
      </c>
      <c r="G10" s="11">
        <f t="shared" si="1"/>
        <v>126</v>
      </c>
      <c r="H10" s="11">
        <v>126.0</v>
      </c>
      <c r="I10" s="11">
        <v>171.0</v>
      </c>
      <c r="J10" s="13">
        <f t="shared" si="2"/>
        <v>12</v>
      </c>
      <c r="K10" s="11">
        <v>41.0</v>
      </c>
      <c r="L10" s="13">
        <f t="shared" si="4"/>
        <v>1906.5</v>
      </c>
      <c r="M10" s="11" t="s">
        <v>40</v>
      </c>
      <c r="N10" s="13">
        <f t="shared" si="6"/>
        <v>9631.5</v>
      </c>
      <c r="O10" s="13">
        <f t="shared" si="5"/>
        <v>46.5</v>
      </c>
    </row>
    <row r="11">
      <c r="A11" s="13"/>
      <c r="B11" s="11">
        <v>4.0</v>
      </c>
      <c r="C11" s="12">
        <v>43087.0</v>
      </c>
      <c r="D11" s="12">
        <v>43115.0</v>
      </c>
      <c r="E11" s="11">
        <v>179.0</v>
      </c>
      <c r="F11" s="11">
        <v>165.0</v>
      </c>
      <c r="G11" s="11">
        <f t="shared" si="1"/>
        <v>207</v>
      </c>
      <c r="H11" s="11">
        <v>165.0</v>
      </c>
      <c r="I11" s="11">
        <v>165.0</v>
      </c>
      <c r="J11" s="13">
        <f t="shared" si="2"/>
        <v>14</v>
      </c>
      <c r="K11" s="11">
        <v>35.0</v>
      </c>
      <c r="L11" s="13">
        <f t="shared" si="4"/>
        <v>-490</v>
      </c>
      <c r="M11" s="11" t="s">
        <v>42</v>
      </c>
      <c r="N11" s="13">
        <f t="shared" si="6"/>
        <v>9141.5</v>
      </c>
      <c r="O11" s="13">
        <f t="shared" si="5"/>
        <v>-14</v>
      </c>
    </row>
    <row r="12">
      <c r="A12" s="13"/>
      <c r="B12" s="11">
        <v>5.0</v>
      </c>
      <c r="C12" s="12">
        <v>43185.0</v>
      </c>
      <c r="D12" s="11" t="s">
        <v>43</v>
      </c>
      <c r="E12" s="11">
        <v>179.0</v>
      </c>
      <c r="F12" s="11">
        <v>168.0</v>
      </c>
      <c r="G12" s="11">
        <f t="shared" si="1"/>
        <v>201</v>
      </c>
      <c r="H12" s="11">
        <v>201.0</v>
      </c>
      <c r="I12" s="11">
        <v>237.0</v>
      </c>
      <c r="J12" s="13">
        <f t="shared" si="2"/>
        <v>11</v>
      </c>
      <c r="K12" s="11">
        <v>45.0</v>
      </c>
      <c r="L12" s="13">
        <f t="shared" si="4"/>
        <v>1800</v>
      </c>
      <c r="M12" s="11" t="s">
        <v>40</v>
      </c>
      <c r="N12" s="13">
        <f t="shared" si="6"/>
        <v>10941.5</v>
      </c>
      <c r="O12" s="13">
        <f t="shared" si="5"/>
        <v>40</v>
      </c>
    </row>
    <row r="13">
      <c r="A13" s="13"/>
      <c r="B13" s="11">
        <v>6.0</v>
      </c>
      <c r="C13" s="12">
        <v>43402.0</v>
      </c>
      <c r="D13" s="12">
        <v>43675.0</v>
      </c>
      <c r="E13" s="11">
        <v>247.0</v>
      </c>
      <c r="F13" s="11">
        <v>230.0</v>
      </c>
      <c r="G13" s="11">
        <f t="shared" si="1"/>
        <v>281</v>
      </c>
      <c r="H13" s="11">
        <v>281.0</v>
      </c>
      <c r="I13" s="11">
        <v>323.0</v>
      </c>
      <c r="J13" s="13">
        <f t="shared" si="2"/>
        <v>17</v>
      </c>
      <c r="K13" s="11">
        <v>29.0</v>
      </c>
      <c r="L13" s="13">
        <f t="shared" si="4"/>
        <v>1595</v>
      </c>
      <c r="M13" s="11" t="s">
        <v>40</v>
      </c>
      <c r="N13" s="13">
        <f t="shared" si="6"/>
        <v>12536.5</v>
      </c>
      <c r="O13" s="13">
        <f t="shared" si="5"/>
        <v>55</v>
      </c>
    </row>
    <row r="14">
      <c r="A14" s="13"/>
      <c r="B14" s="11">
        <v>7.0</v>
      </c>
      <c r="C14" s="12">
        <v>43682.0</v>
      </c>
      <c r="D14" s="12">
        <v>43696.0</v>
      </c>
      <c r="E14" s="11">
        <v>345.0</v>
      </c>
      <c r="F14" s="11">
        <v>314.0</v>
      </c>
      <c r="G14" s="11">
        <f t="shared" si="1"/>
        <v>407</v>
      </c>
      <c r="H14" s="11">
        <v>314.0</v>
      </c>
      <c r="I14" s="11">
        <v>314.0</v>
      </c>
      <c r="J14" s="13">
        <f t="shared" si="2"/>
        <v>31</v>
      </c>
      <c r="K14" s="11">
        <v>16.0</v>
      </c>
      <c r="L14" s="13">
        <f t="shared" si="4"/>
        <v>-496</v>
      </c>
      <c r="M14" s="11" t="s">
        <v>42</v>
      </c>
      <c r="N14" s="13">
        <f t="shared" si="6"/>
        <v>12040.5</v>
      </c>
      <c r="O14" s="13">
        <f t="shared" si="5"/>
        <v>-31</v>
      </c>
    </row>
    <row r="15">
      <c r="A15" s="13"/>
      <c r="B15" s="11">
        <v>8.0</v>
      </c>
      <c r="C15" s="12">
        <v>43703.0</v>
      </c>
      <c r="D15" s="12">
        <v>43892.0</v>
      </c>
      <c r="E15" s="11">
        <v>340.0</v>
      </c>
      <c r="F15" s="11">
        <v>318.0</v>
      </c>
      <c r="G15" s="11">
        <f t="shared" si="1"/>
        <v>384</v>
      </c>
      <c r="H15" s="11">
        <v>384.0</v>
      </c>
      <c r="I15" s="11">
        <v>403.0</v>
      </c>
      <c r="J15" s="13">
        <f t="shared" si="2"/>
        <v>22</v>
      </c>
      <c r="K15" s="11">
        <v>22.0</v>
      </c>
      <c r="L15" s="13">
        <f t="shared" si="4"/>
        <v>1177</v>
      </c>
      <c r="M15" s="11" t="s">
        <v>40</v>
      </c>
      <c r="N15" s="13">
        <f t="shared" si="6"/>
        <v>13217.5</v>
      </c>
      <c r="O15" s="13">
        <f t="shared" si="5"/>
        <v>53.5</v>
      </c>
    </row>
    <row r="16">
      <c r="A16" s="13"/>
      <c r="B16" s="11">
        <v>9.0</v>
      </c>
      <c r="C16" s="12">
        <v>44011.0</v>
      </c>
      <c r="D16" s="11" t="s">
        <v>47</v>
      </c>
      <c r="E16" s="11">
        <v>302.0</v>
      </c>
      <c r="F16" s="11">
        <v>277.0</v>
      </c>
      <c r="G16" s="11">
        <f t="shared" si="1"/>
        <v>352</v>
      </c>
      <c r="H16" s="11">
        <v>352.0</v>
      </c>
      <c r="I16" s="11">
        <v>313.0</v>
      </c>
      <c r="J16" s="13">
        <f t="shared" si="2"/>
        <v>25</v>
      </c>
      <c r="K16" s="13">
        <f>(500/J16)</f>
        <v>20</v>
      </c>
      <c r="L16" s="13">
        <f t="shared" si="4"/>
        <v>610</v>
      </c>
      <c r="M16" s="11" t="s">
        <v>40</v>
      </c>
      <c r="N16" s="13">
        <f t="shared" si="6"/>
        <v>13827.5</v>
      </c>
      <c r="O16" s="13">
        <f t="shared" si="5"/>
        <v>30.5</v>
      </c>
    </row>
    <row r="17">
      <c r="A17" s="13"/>
      <c r="B17" s="11">
        <v>10.0</v>
      </c>
      <c r="C17" s="11" t="s">
        <v>50</v>
      </c>
      <c r="D17" s="12">
        <v>44116.0</v>
      </c>
      <c r="E17" s="11">
        <v>346.0</v>
      </c>
      <c r="F17" s="11">
        <v>316.0</v>
      </c>
      <c r="G17" s="11">
        <f t="shared" si="1"/>
        <v>406</v>
      </c>
      <c r="H17" s="11">
        <v>317.0</v>
      </c>
      <c r="I17" s="11">
        <v>317.0</v>
      </c>
      <c r="J17" s="13">
        <f t="shared" si="2"/>
        <v>30</v>
      </c>
      <c r="K17" s="11">
        <v>16.0</v>
      </c>
      <c r="L17" s="13">
        <f t="shared" si="4"/>
        <v>-464</v>
      </c>
      <c r="M17" s="11" t="s">
        <v>42</v>
      </c>
      <c r="N17" s="13">
        <f t="shared" si="6"/>
        <v>13363.5</v>
      </c>
      <c r="O17" s="13">
        <f t="shared" si="5"/>
        <v>-29</v>
      </c>
    </row>
    <row r="18">
      <c r="A18" s="13"/>
      <c r="B18" s="11">
        <v>11.0</v>
      </c>
      <c r="C18" s="12">
        <v>44123.0</v>
      </c>
      <c r="D18" s="12">
        <v>44291.0</v>
      </c>
      <c r="E18" s="11">
        <v>336.0</v>
      </c>
      <c r="F18" s="11">
        <v>310.0</v>
      </c>
      <c r="G18" s="11">
        <f t="shared" si="1"/>
        <v>388</v>
      </c>
      <c r="H18" s="11">
        <v>388.0</v>
      </c>
      <c r="I18" s="11">
        <v>487.0</v>
      </c>
      <c r="J18" s="13">
        <f t="shared" si="2"/>
        <v>26</v>
      </c>
      <c r="K18" s="11">
        <v>19.0</v>
      </c>
      <c r="L18" s="13">
        <f t="shared" si="4"/>
        <v>1928.5</v>
      </c>
      <c r="M18" s="11" t="s">
        <v>40</v>
      </c>
      <c r="N18" s="13">
        <f t="shared" si="6"/>
        <v>15292</v>
      </c>
      <c r="O18" s="13">
        <f t="shared" si="5"/>
        <v>101.5</v>
      </c>
    </row>
    <row r="19">
      <c r="A19" s="13"/>
      <c r="B19" s="11">
        <v>12.0</v>
      </c>
      <c r="C19" s="12">
        <v>44312.0</v>
      </c>
      <c r="D19" s="12">
        <v>44522.0</v>
      </c>
      <c r="E19" s="11">
        <v>552.0</v>
      </c>
      <c r="F19" s="11">
        <v>469.0</v>
      </c>
      <c r="G19" s="11">
        <f t="shared" si="1"/>
        <v>718</v>
      </c>
      <c r="H19" s="11">
        <v>718.0</v>
      </c>
      <c r="I19" s="11">
        <v>680.0</v>
      </c>
      <c r="J19" s="13">
        <f t="shared" si="2"/>
        <v>83</v>
      </c>
      <c r="K19" s="11">
        <v>6.0</v>
      </c>
      <c r="L19" s="13">
        <f t="shared" si="4"/>
        <v>882</v>
      </c>
      <c r="M19" s="11" t="s">
        <v>40</v>
      </c>
      <c r="N19" s="13">
        <f t="shared" si="6"/>
        <v>16174</v>
      </c>
      <c r="O19" s="13">
        <f t="shared" si="5"/>
        <v>147</v>
      </c>
    </row>
    <row r="20">
      <c r="A20" s="13"/>
      <c r="B20" s="11">
        <v>13.0</v>
      </c>
      <c r="C20" s="12">
        <v>44536.0</v>
      </c>
      <c r="D20" s="12">
        <v>44543.0</v>
      </c>
      <c r="E20" s="11">
        <v>747.0</v>
      </c>
      <c r="F20" s="11">
        <v>693.0</v>
      </c>
      <c r="G20" s="11">
        <f t="shared" si="1"/>
        <v>855</v>
      </c>
      <c r="H20" s="11">
        <v>693.0</v>
      </c>
      <c r="I20" s="11">
        <v>693.0</v>
      </c>
      <c r="J20" s="13">
        <f t="shared" si="2"/>
        <v>54</v>
      </c>
      <c r="K20" s="11">
        <v>9.0</v>
      </c>
      <c r="L20" s="13">
        <f t="shared" si="4"/>
        <v>-486</v>
      </c>
      <c r="M20" s="11" t="s">
        <v>42</v>
      </c>
      <c r="N20" s="13">
        <f t="shared" si="6"/>
        <v>15688</v>
      </c>
      <c r="O20" s="13">
        <f t="shared" si="5"/>
        <v>-54</v>
      </c>
    </row>
    <row r="21">
      <c r="A21" s="13"/>
      <c r="B21" s="11">
        <v>14.0</v>
      </c>
      <c r="C21" s="12">
        <v>44564.0</v>
      </c>
      <c r="D21" s="12">
        <v>44585.0</v>
      </c>
      <c r="E21" s="11">
        <v>778.0</v>
      </c>
      <c r="F21" s="11">
        <v>697.0</v>
      </c>
      <c r="G21" s="11">
        <f t="shared" si="1"/>
        <v>940</v>
      </c>
      <c r="H21" s="11">
        <v>697.0</v>
      </c>
      <c r="I21" s="11">
        <v>697.0</v>
      </c>
      <c r="J21" s="13">
        <f t="shared" si="2"/>
        <v>81</v>
      </c>
      <c r="K21" s="11">
        <v>6.0</v>
      </c>
      <c r="L21" s="13">
        <f t="shared" si="4"/>
        <v>-486</v>
      </c>
      <c r="M21" s="11" t="s">
        <v>42</v>
      </c>
      <c r="N21" s="13">
        <f t="shared" si="6"/>
        <v>15202</v>
      </c>
      <c r="O21" s="13">
        <f t="shared" si="5"/>
        <v>-81</v>
      </c>
    </row>
    <row r="22">
      <c r="A22" s="13"/>
      <c r="B22" s="11">
        <v>15.0</v>
      </c>
      <c r="C22" s="12">
        <v>44648.0</v>
      </c>
      <c r="D22" s="12">
        <v>44676.0</v>
      </c>
      <c r="E22" s="11">
        <v>745.0</v>
      </c>
      <c r="F22" s="11">
        <v>687.0</v>
      </c>
      <c r="G22" s="11">
        <f t="shared" si="1"/>
        <v>861</v>
      </c>
      <c r="H22" s="11">
        <v>687.0</v>
      </c>
      <c r="I22" s="11">
        <v>687.0</v>
      </c>
      <c r="J22" s="13">
        <f t="shared" si="2"/>
        <v>58</v>
      </c>
      <c r="K22" s="11">
        <v>8.0</v>
      </c>
      <c r="L22" s="13">
        <f t="shared" si="4"/>
        <v>-464</v>
      </c>
      <c r="M22" s="11" t="s">
        <v>42</v>
      </c>
      <c r="N22" s="13">
        <f t="shared" si="6"/>
        <v>14738</v>
      </c>
      <c r="O22" s="13">
        <f t="shared" si="5"/>
        <v>-58</v>
      </c>
    </row>
    <row r="23">
      <c r="A23" s="13"/>
      <c r="B23" s="11">
        <v>16.0</v>
      </c>
      <c r="C23" s="12">
        <v>44760.0</v>
      </c>
      <c r="D23" s="12">
        <v>44879.0</v>
      </c>
      <c r="E23" s="11">
        <v>632.0</v>
      </c>
      <c r="F23" s="11">
        <v>593.0</v>
      </c>
      <c r="G23" s="11">
        <f t="shared" si="1"/>
        <v>710</v>
      </c>
      <c r="H23" s="11">
        <v>710.0</v>
      </c>
      <c r="I23" s="11">
        <v>679.0</v>
      </c>
      <c r="J23" s="13">
        <f t="shared" si="2"/>
        <v>39</v>
      </c>
      <c r="K23" s="11">
        <v>12.0</v>
      </c>
      <c r="L23" s="13">
        <f t="shared" si="4"/>
        <v>750</v>
      </c>
      <c r="M23" s="11" t="s">
        <v>40</v>
      </c>
      <c r="N23" s="13">
        <f t="shared" si="6"/>
        <v>15488</v>
      </c>
      <c r="O23" s="13">
        <f t="shared" si="5"/>
        <v>62.5</v>
      </c>
    </row>
    <row r="24">
      <c r="A24" s="13"/>
      <c r="B24" s="11">
        <v>17.0</v>
      </c>
      <c r="C24" s="15">
        <v>45048.0</v>
      </c>
      <c r="D24" s="12">
        <v>45152.0</v>
      </c>
      <c r="E24" s="11">
        <v>645.0</v>
      </c>
      <c r="F24" s="11">
        <v>615.0</v>
      </c>
      <c r="G24" s="11">
        <f t="shared" si="1"/>
        <v>705</v>
      </c>
      <c r="H24" s="11">
        <v>705.0</v>
      </c>
      <c r="I24" s="11">
        <v>686.0</v>
      </c>
      <c r="J24" s="13">
        <f t="shared" si="2"/>
        <v>30</v>
      </c>
      <c r="K24" s="11">
        <v>16.0</v>
      </c>
      <c r="L24" s="13">
        <f t="shared" si="4"/>
        <v>808</v>
      </c>
      <c r="M24" s="11" t="s">
        <v>40</v>
      </c>
      <c r="N24" s="13">
        <f t="shared" si="6"/>
        <v>16296</v>
      </c>
      <c r="O24" s="13">
        <f t="shared" si="5"/>
        <v>50.5</v>
      </c>
    </row>
    <row r="25">
      <c r="A25" s="13"/>
      <c r="B25" s="11">
        <v>18.0</v>
      </c>
      <c r="C25" s="12">
        <v>45159.0</v>
      </c>
      <c r="D25" s="12">
        <v>45243.0</v>
      </c>
      <c r="E25" s="11">
        <v>728.0</v>
      </c>
      <c r="F25" s="11">
        <v>680.0</v>
      </c>
      <c r="G25" s="11">
        <f t="shared" si="1"/>
        <v>824</v>
      </c>
      <c r="H25" s="11">
        <v>693.0</v>
      </c>
      <c r="I25" s="11">
        <v>693.0</v>
      </c>
      <c r="J25" s="13">
        <f t="shared" si="2"/>
        <v>48</v>
      </c>
      <c r="K25" s="11">
        <v>10.0</v>
      </c>
      <c r="L25" s="13">
        <f t="shared" si="4"/>
        <v>-350</v>
      </c>
      <c r="M25" s="11" t="s">
        <v>42</v>
      </c>
      <c r="N25" s="13">
        <f t="shared" si="6"/>
        <v>15946</v>
      </c>
      <c r="O25" s="13">
        <f t="shared" si="5"/>
        <v>-35</v>
      </c>
    </row>
    <row r="26">
      <c r="A26" s="13"/>
      <c r="B26" s="11">
        <v>19.0</v>
      </c>
      <c r="C26" s="12">
        <v>45271.0</v>
      </c>
      <c r="D26" s="12">
        <v>45306.0</v>
      </c>
      <c r="E26" s="11">
        <v>753.0</v>
      </c>
      <c r="F26" s="11">
        <v>720.0</v>
      </c>
      <c r="G26" s="11">
        <f t="shared" si="1"/>
        <v>819</v>
      </c>
      <c r="H26" s="11">
        <v>730.0</v>
      </c>
      <c r="I26" s="11">
        <v>730.0</v>
      </c>
      <c r="J26" s="13">
        <f t="shared" si="2"/>
        <v>33</v>
      </c>
      <c r="K26" s="11">
        <v>15.0</v>
      </c>
      <c r="L26" s="13">
        <f t="shared" si="4"/>
        <v>-345</v>
      </c>
      <c r="M26" s="11" t="s">
        <v>42</v>
      </c>
      <c r="N26" s="13">
        <f t="shared" si="6"/>
        <v>15601</v>
      </c>
      <c r="O26" s="13">
        <f t="shared" si="5"/>
        <v>-23</v>
      </c>
    </row>
    <row r="27">
      <c r="A27" s="13"/>
      <c r="B27" s="11">
        <v>20.0</v>
      </c>
      <c r="C27" s="12">
        <v>45377.0</v>
      </c>
      <c r="D27" s="12">
        <v>45404.0</v>
      </c>
      <c r="E27" s="11">
        <v>735.0</v>
      </c>
      <c r="F27" s="11">
        <v>674.0</v>
      </c>
      <c r="G27" s="11">
        <f t="shared" si="1"/>
        <v>857</v>
      </c>
      <c r="H27" s="11">
        <v>674.0</v>
      </c>
      <c r="I27" s="11">
        <v>674.0</v>
      </c>
      <c r="J27" s="13">
        <f t="shared" si="2"/>
        <v>61</v>
      </c>
      <c r="K27" s="11">
        <v>8.0</v>
      </c>
      <c r="L27" s="13">
        <f t="shared" si="4"/>
        <v>-488</v>
      </c>
      <c r="M27" s="11" t="s">
        <v>42</v>
      </c>
      <c r="N27" s="13">
        <f t="shared" si="6"/>
        <v>15113</v>
      </c>
      <c r="O27" s="13">
        <f t="shared" si="5"/>
        <v>-61</v>
      </c>
    </row>
    <row r="28">
      <c r="A28" s="13"/>
      <c r="B28" s="11">
        <v>21.0</v>
      </c>
      <c r="C28" s="12">
        <v>45530.0</v>
      </c>
      <c r="D28" s="11" t="s">
        <v>56</v>
      </c>
      <c r="E28" s="11">
        <v>721.0</v>
      </c>
      <c r="F28" s="11">
        <v>673.0</v>
      </c>
      <c r="G28" s="11">
        <f t="shared" si="1"/>
        <v>817</v>
      </c>
      <c r="H28" s="11">
        <v>714.0</v>
      </c>
      <c r="I28" s="11">
        <v>714.0</v>
      </c>
      <c r="J28" s="13">
        <f t="shared" si="2"/>
        <v>48</v>
      </c>
      <c r="K28" s="11">
        <v>10.0</v>
      </c>
      <c r="L28" s="13">
        <f t="shared" si="4"/>
        <v>-70</v>
      </c>
      <c r="M28" s="11" t="s">
        <v>42</v>
      </c>
      <c r="N28" s="13">
        <f t="shared" si="6"/>
        <v>15043</v>
      </c>
      <c r="O28" s="13">
        <f t="shared" si="5"/>
        <v>-7</v>
      </c>
    </row>
    <row r="29">
      <c r="A29" s="13"/>
      <c r="B29" s="11">
        <v>22.0</v>
      </c>
      <c r="C29" s="12">
        <v>45656.0</v>
      </c>
      <c r="D29" s="12">
        <v>45866.0</v>
      </c>
      <c r="E29" s="11">
        <v>750.0</v>
      </c>
      <c r="F29" s="11">
        <v>679.0</v>
      </c>
      <c r="G29" s="11">
        <f t="shared" si="1"/>
        <v>892</v>
      </c>
      <c r="H29" s="11">
        <v>892.0</v>
      </c>
      <c r="I29" s="11">
        <v>875.0</v>
      </c>
      <c r="J29" s="13">
        <f t="shared" si="2"/>
        <v>71</v>
      </c>
      <c r="K29" s="11">
        <v>7.0</v>
      </c>
      <c r="L29" s="13">
        <f t="shared" si="4"/>
        <v>934.5</v>
      </c>
      <c r="M29" s="11" t="s">
        <v>40</v>
      </c>
      <c r="N29" s="13">
        <f t="shared" si="6"/>
        <v>15977.5</v>
      </c>
      <c r="O29" s="13">
        <f t="shared" si="5"/>
        <v>133.5</v>
      </c>
    </row>
    <row r="30">
      <c r="A30" s="13"/>
      <c r="B30" s="11">
        <v>23.0</v>
      </c>
      <c r="C30" s="12">
        <v>45887.0</v>
      </c>
      <c r="D30" s="12">
        <v>45894.0</v>
      </c>
      <c r="E30" s="11">
        <v>920.0</v>
      </c>
      <c r="F30" s="11">
        <v>875.0</v>
      </c>
      <c r="G30" s="11">
        <f t="shared" si="1"/>
        <v>1010</v>
      </c>
      <c r="H30" s="11">
        <v>875.0</v>
      </c>
      <c r="I30" s="11">
        <v>875.0</v>
      </c>
      <c r="J30" s="13">
        <f t="shared" si="2"/>
        <v>45</v>
      </c>
      <c r="K30" s="11">
        <v>11.0</v>
      </c>
      <c r="L30" s="13">
        <f t="shared" si="4"/>
        <v>-495</v>
      </c>
      <c r="M30" s="11" t="s">
        <v>42</v>
      </c>
      <c r="N30" s="13">
        <f t="shared" si="6"/>
        <v>15482.5</v>
      </c>
      <c r="O30" s="13">
        <f t="shared" si="5"/>
        <v>-45</v>
      </c>
    </row>
    <row r="31">
      <c r="A31" s="13"/>
      <c r="B31" s="11">
        <v>24.0</v>
      </c>
      <c r="C31" s="11" t="s">
        <v>57</v>
      </c>
      <c r="D31" s="12">
        <v>46020.0</v>
      </c>
      <c r="E31" s="11">
        <v>948.0</v>
      </c>
      <c r="F31" s="11">
        <v>877.0</v>
      </c>
      <c r="G31" s="11">
        <f t="shared" si="1"/>
        <v>1090</v>
      </c>
      <c r="H31" s="11">
        <v>1090.0</v>
      </c>
      <c r="I31" s="11">
        <v>990.0</v>
      </c>
      <c r="J31" s="13">
        <f t="shared" si="2"/>
        <v>71</v>
      </c>
      <c r="K31" s="11">
        <v>7.0</v>
      </c>
      <c r="L31" s="13">
        <f t="shared" si="4"/>
        <v>644</v>
      </c>
      <c r="M31" s="11" t="s">
        <v>40</v>
      </c>
      <c r="N31" s="13">
        <f t="shared" si="6"/>
        <v>16126.5</v>
      </c>
      <c r="O31" s="13">
        <f t="shared" si="5"/>
        <v>92</v>
      </c>
    </row>
    <row r="32">
      <c r="A32" s="13"/>
      <c r="B32" s="11">
        <v>25.0</v>
      </c>
      <c r="C32" s="12">
        <v>46055.0</v>
      </c>
      <c r="D32" s="12">
        <v>46083.0</v>
      </c>
      <c r="E32" s="11">
        <v>986.0</v>
      </c>
      <c r="F32" s="11">
        <v>887.0</v>
      </c>
      <c r="G32" s="11">
        <f t="shared" si="1"/>
        <v>1184</v>
      </c>
      <c r="H32" s="11">
        <v>950.0</v>
      </c>
      <c r="I32" s="11">
        <v>950.0</v>
      </c>
      <c r="J32" s="13">
        <f t="shared" si="2"/>
        <v>99</v>
      </c>
      <c r="K32" s="11">
        <v>5.0</v>
      </c>
      <c r="L32" s="13">
        <f t="shared" si="4"/>
        <v>-180</v>
      </c>
      <c r="M32" s="11" t="s">
        <v>42</v>
      </c>
      <c r="N32" s="13">
        <f t="shared" si="6"/>
        <v>15946.5</v>
      </c>
      <c r="O32" s="13">
        <f t="shared" si="5"/>
        <v>-36</v>
      </c>
    </row>
    <row r="33">
      <c r="A33" s="13"/>
      <c r="B33" s="11">
        <v>26.0</v>
      </c>
      <c r="C33" s="12">
        <v>46139.0</v>
      </c>
      <c r="D33" s="15">
        <v>46153.0</v>
      </c>
      <c r="E33" s="11">
        <v>975.0</v>
      </c>
      <c r="F33" s="11">
        <v>908.0</v>
      </c>
      <c r="G33" s="11">
        <f t="shared" si="1"/>
        <v>1109</v>
      </c>
      <c r="H33" s="11">
        <v>908.0</v>
      </c>
      <c r="I33" s="11">
        <v>908.0</v>
      </c>
      <c r="J33" s="13">
        <f t="shared" si="2"/>
        <v>67</v>
      </c>
      <c r="K33" s="11">
        <v>7.0</v>
      </c>
      <c r="L33" s="13">
        <f t="shared" si="4"/>
        <v>-469</v>
      </c>
      <c r="M33" s="11" t="s">
        <v>42</v>
      </c>
      <c r="N33" s="13">
        <f t="shared" si="6"/>
        <v>15477.5</v>
      </c>
      <c r="O33" s="13">
        <f t="shared" si="5"/>
        <v>-67</v>
      </c>
    </row>
    <row r="34">
      <c r="A34" s="11"/>
      <c r="B34" s="11"/>
      <c r="C34" s="12"/>
      <c r="D34" s="12"/>
      <c r="E34" s="11"/>
      <c r="F34" s="11"/>
      <c r="G34" s="11"/>
      <c r="H34" s="11"/>
      <c r="I34" s="11"/>
      <c r="J34" s="13"/>
      <c r="M34" s="11"/>
      <c r="N34" s="13"/>
    </row>
    <row r="35">
      <c r="A35" s="13"/>
      <c r="B35" s="11"/>
      <c r="C35" s="31"/>
      <c r="D35" s="31"/>
      <c r="E35" s="11"/>
      <c r="F35" s="11"/>
      <c r="G35" s="13"/>
      <c r="H35" s="13"/>
      <c r="I35" s="13"/>
      <c r="J35" s="13"/>
      <c r="K35" s="13"/>
      <c r="L35" s="11"/>
      <c r="M35" s="11"/>
      <c r="N35" s="13"/>
    </row>
    <row r="36">
      <c r="A36" s="13"/>
      <c r="B36" s="11"/>
      <c r="C36" s="31"/>
      <c r="D36" s="31"/>
      <c r="E36" s="11"/>
      <c r="F36" s="11"/>
      <c r="G36" s="13"/>
      <c r="H36" s="13"/>
      <c r="I36" s="13"/>
      <c r="J36" s="13"/>
      <c r="K36" s="11" t="s">
        <v>60</v>
      </c>
      <c r="L36" s="14">
        <f>SUM(L8:L33)</f>
        <v>15477.5</v>
      </c>
      <c r="M36" s="11"/>
      <c r="N36" s="11" t="s">
        <v>61</v>
      </c>
      <c r="O36" s="14">
        <f>SUM(O8:O33)</f>
        <v>319.5</v>
      </c>
    </row>
    <row r="37">
      <c r="A37" s="13"/>
      <c r="B37" s="11"/>
      <c r="C37" s="31"/>
      <c r="D37" s="31"/>
      <c r="E37" s="11"/>
      <c r="F37" s="11"/>
      <c r="G37" s="13"/>
      <c r="H37" s="11"/>
      <c r="I37" s="13"/>
      <c r="J37" s="13"/>
      <c r="K37" s="13"/>
      <c r="L37" s="11"/>
      <c r="M37" s="11"/>
      <c r="N37" s="13"/>
    </row>
    <row r="38">
      <c r="A38" s="13"/>
      <c r="B38" s="11"/>
      <c r="C38" s="11" t="s">
        <v>62</v>
      </c>
      <c r="D38" s="11">
        <v>13.0</v>
      </c>
      <c r="E38" s="11" t="s">
        <v>63</v>
      </c>
      <c r="F38" s="9">
        <v>1596.6</v>
      </c>
      <c r="G38" s="13"/>
      <c r="H38" s="13"/>
      <c r="I38" s="11" t="s">
        <v>64</v>
      </c>
      <c r="J38" s="11">
        <v>12.29</v>
      </c>
      <c r="K38" s="13"/>
      <c r="L38" s="11"/>
      <c r="M38" s="11"/>
      <c r="N38" s="13"/>
    </row>
    <row r="39">
      <c r="A39" s="13"/>
      <c r="B39" s="11"/>
      <c r="C39" s="11" t="s">
        <v>65</v>
      </c>
      <c r="D39" s="11">
        <v>13.0</v>
      </c>
      <c r="E39" s="11" t="s">
        <v>66</v>
      </c>
      <c r="F39" s="11">
        <v>415.53</v>
      </c>
      <c r="G39" s="13"/>
      <c r="H39" s="11"/>
      <c r="I39" s="11" t="s">
        <v>67</v>
      </c>
      <c r="J39" s="11">
        <v>962.0</v>
      </c>
      <c r="K39" s="13"/>
      <c r="L39" s="11"/>
      <c r="M39" s="11"/>
      <c r="N39" s="13"/>
    </row>
    <row r="40">
      <c r="A40" s="13"/>
      <c r="B40" s="11"/>
      <c r="C40" s="8"/>
      <c r="D40" s="8"/>
      <c r="E40" s="11"/>
      <c r="F40" s="11"/>
      <c r="G40" s="13"/>
      <c r="H40" s="11"/>
      <c r="I40" s="11" t="s">
        <v>68</v>
      </c>
      <c r="J40" s="11">
        <v>319.5</v>
      </c>
      <c r="K40" s="13"/>
      <c r="L40" s="11"/>
      <c r="M40" s="11"/>
      <c r="N40" s="13"/>
    </row>
    <row r="41">
      <c r="A41" s="13"/>
      <c r="B41" s="11"/>
      <c r="C41" s="8"/>
      <c r="D41" s="8"/>
      <c r="E41" s="11"/>
      <c r="F41" s="11"/>
      <c r="G41" s="13"/>
      <c r="H41" s="13"/>
      <c r="I41" s="10" t="s">
        <v>70</v>
      </c>
      <c r="J41" s="14">
        <f>(O36/J39)*100</f>
        <v>33.21205821</v>
      </c>
      <c r="K41" s="11" t="s">
        <v>72</v>
      </c>
      <c r="L41" s="11"/>
      <c r="M41" s="11"/>
      <c r="N41" s="13"/>
    </row>
    <row r="42">
      <c r="A42" s="13"/>
      <c r="B42" s="11"/>
      <c r="C42" s="11" t="s">
        <v>73</v>
      </c>
      <c r="D42" s="11" t="s">
        <v>74</v>
      </c>
      <c r="E42" s="11"/>
      <c r="F42" s="11"/>
      <c r="G42" s="13"/>
      <c r="H42" s="13"/>
      <c r="I42" s="13"/>
      <c r="J42" s="13"/>
      <c r="K42" s="13"/>
      <c r="L42" s="11"/>
      <c r="M42" s="11"/>
      <c r="N42" s="13"/>
    </row>
    <row r="43">
      <c r="A43" s="13"/>
      <c r="B43" s="11"/>
      <c r="C43" s="31"/>
      <c r="D43" s="31"/>
      <c r="E43" s="11"/>
      <c r="F43" s="11"/>
      <c r="G43" s="13"/>
      <c r="H43" s="13"/>
      <c r="I43" s="13"/>
      <c r="J43" s="13"/>
      <c r="K43" s="13"/>
      <c r="L43" s="11"/>
      <c r="M43" s="11"/>
      <c r="N43" s="13"/>
    </row>
    <row r="44">
      <c r="A44" s="13"/>
      <c r="B44" s="11"/>
      <c r="C44" s="11" t="s">
        <v>73</v>
      </c>
      <c r="D44" s="13">
        <f>(D38*(D38/(D38+D39)))-(D39*(D39/(D38+D39)))</f>
        <v>0</v>
      </c>
      <c r="E44" s="11"/>
      <c r="F44" s="11"/>
      <c r="G44" s="13"/>
      <c r="H44" s="13"/>
      <c r="I44" s="13"/>
      <c r="J44" s="13"/>
      <c r="K44" s="13"/>
      <c r="L44" s="11"/>
      <c r="M44" s="11"/>
      <c r="N44" s="13"/>
    </row>
    <row r="45">
      <c r="A45" s="13"/>
      <c r="B45" s="11"/>
      <c r="C45" s="31"/>
      <c r="D45" s="31"/>
      <c r="E45" s="11"/>
      <c r="F45" s="11"/>
      <c r="G45" s="13"/>
      <c r="H45" s="13"/>
      <c r="I45" s="13"/>
      <c r="J45" s="13"/>
      <c r="K45" s="13"/>
      <c r="L45" s="11"/>
      <c r="M45" s="11"/>
      <c r="N45" s="13"/>
    </row>
    <row r="46">
      <c r="A46" s="13"/>
      <c r="B46" s="11"/>
      <c r="C46" s="31"/>
      <c r="D46" s="11"/>
      <c r="E46" s="11"/>
      <c r="F46" s="11"/>
      <c r="G46" s="13"/>
      <c r="H46" s="13"/>
      <c r="I46" s="13"/>
      <c r="J46" s="13"/>
      <c r="K46" s="13"/>
      <c r="L46" s="11"/>
      <c r="M46" s="11"/>
      <c r="N46" s="13"/>
    </row>
    <row r="47">
      <c r="A47" s="13"/>
      <c r="B47" s="11"/>
      <c r="C47" s="11"/>
      <c r="D47" s="11"/>
      <c r="E47" s="11"/>
      <c r="F47" s="11"/>
      <c r="G47" s="13"/>
      <c r="H47" s="13"/>
      <c r="I47" s="13"/>
      <c r="J47" s="13"/>
      <c r="K47" s="13"/>
      <c r="L47" s="11"/>
      <c r="M47" s="11"/>
      <c r="N47" s="13"/>
    </row>
    <row r="48">
      <c r="A48" s="13"/>
      <c r="B48" s="11"/>
      <c r="C48" s="11"/>
      <c r="D48" s="11"/>
      <c r="E48" s="11"/>
      <c r="F48" s="11"/>
      <c r="G48" s="13"/>
      <c r="H48" s="13"/>
      <c r="I48" s="13"/>
      <c r="J48" s="13"/>
      <c r="K48" s="13"/>
      <c r="L48" s="11"/>
      <c r="M48" s="11"/>
      <c r="N48" s="13"/>
    </row>
    <row r="49">
      <c r="A49" s="13"/>
      <c r="B49" s="11"/>
      <c r="C49" s="11"/>
      <c r="D49" s="11"/>
      <c r="E49" s="11"/>
      <c r="F49" s="11"/>
      <c r="G49" s="13"/>
      <c r="H49" s="13"/>
      <c r="I49" s="13"/>
      <c r="J49" s="13"/>
      <c r="K49" s="13"/>
      <c r="L49" s="11"/>
      <c r="M49" s="11"/>
      <c r="N49" s="13"/>
    </row>
    <row r="50">
      <c r="A50" s="13"/>
      <c r="B50" s="11"/>
      <c r="C50" s="11"/>
      <c r="D50" s="11"/>
      <c r="E50" s="11"/>
      <c r="F50" s="11"/>
      <c r="G50" s="13"/>
      <c r="H50" s="13"/>
      <c r="I50" s="13"/>
      <c r="J50" s="13"/>
      <c r="K50" s="13"/>
      <c r="L50" s="11"/>
      <c r="M50" s="11"/>
      <c r="N50" s="13"/>
    </row>
    <row r="51">
      <c r="A51" s="13"/>
      <c r="B51" s="11"/>
      <c r="C51" s="11"/>
      <c r="D51" s="11"/>
      <c r="E51" s="11"/>
      <c r="F51" s="11"/>
      <c r="G51" s="13"/>
      <c r="H51" s="13"/>
      <c r="I51" s="13"/>
      <c r="J51" s="13"/>
      <c r="K51" s="13"/>
      <c r="L51" s="11"/>
      <c r="M51" s="11"/>
      <c r="N51" s="13"/>
    </row>
    <row r="52">
      <c r="A52" s="13"/>
      <c r="B52" s="11"/>
      <c r="C52" s="11"/>
      <c r="D52" s="11"/>
      <c r="E52" s="11"/>
      <c r="F52" s="11"/>
      <c r="G52" s="13"/>
      <c r="H52" s="13"/>
      <c r="I52" s="13"/>
      <c r="J52" s="13"/>
      <c r="K52" s="13"/>
      <c r="L52" s="11"/>
      <c r="M52" s="11"/>
      <c r="N52" s="13"/>
    </row>
    <row r="53">
      <c r="A53" s="13"/>
      <c r="B53" s="11"/>
      <c r="C53" s="11"/>
      <c r="D53" s="11"/>
      <c r="E53" s="11"/>
      <c r="F53" s="11"/>
      <c r="G53" s="13"/>
      <c r="H53" s="13"/>
      <c r="I53" s="13"/>
      <c r="J53" s="13"/>
      <c r="K53" s="13"/>
      <c r="L53" s="11"/>
      <c r="M53" s="11"/>
      <c r="N53" s="13"/>
    </row>
    <row r="54">
      <c r="A54" s="13"/>
      <c r="B54" s="11"/>
      <c r="C54" s="31"/>
      <c r="D54" s="31"/>
      <c r="E54" s="11"/>
      <c r="F54" s="11"/>
      <c r="G54" s="13"/>
      <c r="H54" s="13"/>
      <c r="I54" s="13"/>
      <c r="J54" s="13"/>
      <c r="K54" s="13"/>
      <c r="L54" s="11"/>
      <c r="M54" s="11"/>
      <c r="N54" s="13"/>
    </row>
    <row r="55">
      <c r="A55" s="13"/>
      <c r="B55" s="11"/>
      <c r="C55" s="31"/>
      <c r="D55" s="31"/>
      <c r="E55" s="11"/>
      <c r="F55" s="11"/>
      <c r="G55" s="13"/>
      <c r="H55" s="13"/>
      <c r="I55" s="13"/>
      <c r="J55" s="13"/>
      <c r="K55" s="13"/>
      <c r="L55" s="11"/>
      <c r="M55" s="11"/>
      <c r="N55" s="13"/>
    </row>
    <row r="56">
      <c r="A56" s="13"/>
      <c r="B56" s="11"/>
      <c r="C56" s="31"/>
      <c r="D56" s="33"/>
      <c r="E56" s="11"/>
      <c r="F56" s="11"/>
      <c r="G56" s="13"/>
      <c r="H56" s="13"/>
      <c r="I56" s="13"/>
      <c r="J56" s="13"/>
      <c r="K56" s="13"/>
      <c r="L56" s="11"/>
      <c r="M56" s="11"/>
      <c r="N56" s="13"/>
    </row>
    <row r="59">
      <c r="J59" s="32"/>
      <c r="K59" s="22"/>
      <c r="L59" s="32"/>
    </row>
    <row r="62">
      <c r="C62" s="11" t="s">
        <v>62</v>
      </c>
      <c r="D62" s="11"/>
    </row>
    <row r="63">
      <c r="C63" s="11" t="s">
        <v>65</v>
      </c>
      <c r="D63" s="11"/>
    </row>
    <row r="66">
      <c r="C66" s="11" t="s">
        <v>73</v>
      </c>
      <c r="D66" s="11" t="s">
        <v>74</v>
      </c>
    </row>
    <row r="68">
      <c r="C68" s="11"/>
      <c r="D68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3" max="3" width="28.75"/>
    <col customWidth="1" min="7" max="7" width="17.38"/>
    <col customWidth="1" min="8" max="8" width="16.38"/>
    <col customWidth="1" min="9" max="9" width="14.75"/>
    <col customWidth="1" min="12" max="12" width="16.38"/>
    <col customWidth="1" min="13" max="13" width="18.88"/>
    <col customWidth="1" min="14" max="14" width="21.88"/>
  </cols>
  <sheetData>
    <row r="1">
      <c r="B1" s="1" t="s">
        <v>0</v>
      </c>
      <c r="C1" s="2" t="s">
        <v>1</v>
      </c>
      <c r="D1" s="3"/>
      <c r="E1" s="3"/>
      <c r="F1" s="3"/>
      <c r="H1" s="1" t="s">
        <v>25</v>
      </c>
      <c r="I1" s="18"/>
      <c r="J1" s="18"/>
    </row>
    <row r="2">
      <c r="C2" s="2" t="s">
        <v>2</v>
      </c>
      <c r="D2" s="3"/>
      <c r="E2" s="2"/>
      <c r="F2" s="3"/>
    </row>
    <row r="3">
      <c r="C3" s="2" t="s">
        <v>27</v>
      </c>
      <c r="D3" s="3"/>
      <c r="E3" s="3"/>
      <c r="F3" s="3"/>
    </row>
    <row r="4">
      <c r="C4" s="2" t="s">
        <v>4</v>
      </c>
      <c r="D4" s="3"/>
      <c r="E4" s="3"/>
      <c r="F4" s="3"/>
    </row>
    <row r="5">
      <c r="B5" s="6"/>
      <c r="C5" s="6" t="s">
        <v>28</v>
      </c>
      <c r="D5" s="6"/>
      <c r="E5" s="6"/>
      <c r="F5" s="6"/>
    </row>
    <row r="8">
      <c r="A8" s="22" t="s">
        <v>6</v>
      </c>
      <c r="B8" s="22" t="s">
        <v>29</v>
      </c>
      <c r="C8" s="22" t="s">
        <v>30</v>
      </c>
      <c r="D8" s="22" t="s">
        <v>9</v>
      </c>
      <c r="E8" s="22" t="s">
        <v>10</v>
      </c>
      <c r="F8" s="22" t="s">
        <v>11</v>
      </c>
      <c r="G8" s="22" t="s">
        <v>31</v>
      </c>
      <c r="H8" s="22" t="s">
        <v>32</v>
      </c>
      <c r="I8" s="22" t="s">
        <v>12</v>
      </c>
      <c r="J8" s="22" t="s">
        <v>13</v>
      </c>
      <c r="K8" s="22" t="s">
        <v>14</v>
      </c>
      <c r="L8" s="17" t="s">
        <v>33</v>
      </c>
      <c r="M8" s="22" t="s">
        <v>34</v>
      </c>
      <c r="N8" s="22" t="s">
        <v>16</v>
      </c>
    </row>
    <row r="9">
      <c r="A9" s="11">
        <v>1.0</v>
      </c>
      <c r="B9" s="12">
        <v>41680.0</v>
      </c>
      <c r="C9" s="12">
        <v>41995.0</v>
      </c>
      <c r="D9" s="11">
        <v>236.0</v>
      </c>
      <c r="E9" s="11">
        <v>223.0</v>
      </c>
      <c r="F9" s="13">
        <f t="shared" ref="F9:F48" si="1">(D9-E9)*2+D9</f>
        <v>262</v>
      </c>
      <c r="G9" s="11">
        <v>262.0</v>
      </c>
      <c r="H9" s="11">
        <v>367.0</v>
      </c>
      <c r="I9" s="13">
        <f t="shared" ref="I9:I48" si="2">(D9-E9)</f>
        <v>13</v>
      </c>
      <c r="J9" s="11">
        <v>38.0</v>
      </c>
      <c r="K9" s="13">
        <f t="shared" ref="K9:K48" si="3">(G9-D9)*J9/2+(H9-D9)*J9/2</f>
        <v>2983</v>
      </c>
      <c r="L9" s="11" t="s">
        <v>40</v>
      </c>
      <c r="M9" s="13">
        <f>(K9)</f>
        <v>2983</v>
      </c>
      <c r="N9" s="13">
        <f t="shared" ref="N9:N48" si="4">(K9/J9)</f>
        <v>78.5</v>
      </c>
      <c r="O9" s="10">
        <v>400.0</v>
      </c>
      <c r="P9" s="11">
        <v>2983.0</v>
      </c>
    </row>
    <row r="10">
      <c r="A10" s="11">
        <v>2.0</v>
      </c>
      <c r="B10" s="12">
        <v>42002.0</v>
      </c>
      <c r="C10" s="12">
        <v>42079.0</v>
      </c>
      <c r="D10" s="11">
        <v>388.0</v>
      </c>
      <c r="E10" s="11">
        <v>367.0</v>
      </c>
      <c r="F10" s="13">
        <f t="shared" si="1"/>
        <v>430</v>
      </c>
      <c r="G10" s="11">
        <v>430.0</v>
      </c>
      <c r="H10" s="11">
        <v>392.0</v>
      </c>
      <c r="I10" s="13">
        <f t="shared" si="2"/>
        <v>21</v>
      </c>
      <c r="J10" s="11">
        <v>23.0</v>
      </c>
      <c r="K10" s="13">
        <f t="shared" si="3"/>
        <v>529</v>
      </c>
      <c r="L10" s="11" t="s">
        <v>40</v>
      </c>
      <c r="M10" s="13">
        <f t="shared" ref="M10:M48" si="5">(M9+K10)</f>
        <v>3512</v>
      </c>
      <c r="N10" s="13">
        <f t="shared" si="4"/>
        <v>23</v>
      </c>
      <c r="O10" s="10">
        <v>493.0</v>
      </c>
      <c r="P10" s="11">
        <v>529.0</v>
      </c>
    </row>
    <row r="11">
      <c r="A11" s="11">
        <v>3.0</v>
      </c>
      <c r="B11" s="15">
        <v>42100.0</v>
      </c>
      <c r="C11" s="12">
        <v>42107.0</v>
      </c>
      <c r="D11" s="11">
        <v>411.0</v>
      </c>
      <c r="E11" s="11">
        <v>391.0</v>
      </c>
      <c r="F11" s="13">
        <f t="shared" si="1"/>
        <v>451</v>
      </c>
      <c r="G11" s="11">
        <v>395.0</v>
      </c>
      <c r="H11" s="11">
        <v>395.0</v>
      </c>
      <c r="I11" s="13">
        <f t="shared" si="2"/>
        <v>20</v>
      </c>
      <c r="J11" s="11">
        <v>25.0</v>
      </c>
      <c r="K11" s="13">
        <f t="shared" si="3"/>
        <v>-400</v>
      </c>
      <c r="L11" s="11" t="s">
        <v>42</v>
      </c>
      <c r="M11" s="13">
        <f t="shared" si="5"/>
        <v>3112</v>
      </c>
      <c r="N11" s="13">
        <f t="shared" si="4"/>
        <v>-16</v>
      </c>
      <c r="O11" s="10">
        <v>486.0</v>
      </c>
      <c r="P11" s="11">
        <v>830.0</v>
      </c>
    </row>
    <row r="12">
      <c r="A12" s="11">
        <v>4.0</v>
      </c>
      <c r="B12" s="12">
        <v>42114.0</v>
      </c>
      <c r="C12" s="12">
        <v>42121.0</v>
      </c>
      <c r="D12" s="11">
        <v>405.0</v>
      </c>
      <c r="E12" s="11">
        <v>388.0</v>
      </c>
      <c r="F12" s="13">
        <f t="shared" si="1"/>
        <v>439</v>
      </c>
      <c r="G12" s="11">
        <v>388.0</v>
      </c>
      <c r="H12" s="11">
        <v>388.0</v>
      </c>
      <c r="I12" s="13">
        <f t="shared" si="2"/>
        <v>17</v>
      </c>
      <c r="J12" s="11">
        <v>29.0</v>
      </c>
      <c r="K12" s="13">
        <f t="shared" si="3"/>
        <v>-493</v>
      </c>
      <c r="L12" s="11" t="s">
        <v>42</v>
      </c>
      <c r="M12" s="13">
        <f t="shared" si="5"/>
        <v>2619</v>
      </c>
      <c r="N12" s="13">
        <f t="shared" si="4"/>
        <v>-17</v>
      </c>
      <c r="O12" s="10">
        <v>207.0</v>
      </c>
      <c r="P12" s="11">
        <v>3835.0</v>
      </c>
    </row>
    <row r="13">
      <c r="A13" s="11">
        <v>5.0</v>
      </c>
      <c r="B13" s="12">
        <v>42303.0</v>
      </c>
      <c r="C13" s="12">
        <v>42345.0</v>
      </c>
      <c r="D13" s="11">
        <v>356.0</v>
      </c>
      <c r="E13" s="11">
        <v>338.0</v>
      </c>
      <c r="F13" s="13">
        <f t="shared" si="1"/>
        <v>392</v>
      </c>
      <c r="G13" s="11">
        <v>338.0</v>
      </c>
      <c r="H13" s="11">
        <v>338.0</v>
      </c>
      <c r="I13" s="13">
        <f t="shared" si="2"/>
        <v>18</v>
      </c>
      <c r="J13" s="11">
        <v>27.0</v>
      </c>
      <c r="K13" s="13">
        <f t="shared" si="3"/>
        <v>-486</v>
      </c>
      <c r="L13" s="11" t="s">
        <v>42</v>
      </c>
      <c r="M13" s="13">
        <f t="shared" si="5"/>
        <v>2133</v>
      </c>
      <c r="N13" s="13">
        <f t="shared" si="4"/>
        <v>-18</v>
      </c>
      <c r="O13" s="10">
        <v>486.0</v>
      </c>
      <c r="P13" s="11">
        <v>860.0</v>
      </c>
    </row>
    <row r="14">
      <c r="A14" s="11">
        <v>6.0</v>
      </c>
      <c r="B14" s="12">
        <v>42317.0</v>
      </c>
      <c r="C14" s="12">
        <v>42345.0</v>
      </c>
      <c r="D14" s="11">
        <v>361.0</v>
      </c>
      <c r="E14" s="11">
        <v>340.0</v>
      </c>
      <c r="F14" s="13">
        <f t="shared" si="1"/>
        <v>403</v>
      </c>
      <c r="G14" s="11">
        <v>352.0</v>
      </c>
      <c r="H14" s="11">
        <v>352.0</v>
      </c>
      <c r="I14" s="13">
        <f t="shared" si="2"/>
        <v>21</v>
      </c>
      <c r="J14" s="11">
        <v>23.0</v>
      </c>
      <c r="K14" s="13">
        <f t="shared" si="3"/>
        <v>-207</v>
      </c>
      <c r="L14" s="11" t="s">
        <v>42</v>
      </c>
      <c r="M14" s="13">
        <f t="shared" si="5"/>
        <v>1926</v>
      </c>
      <c r="N14" s="13">
        <f t="shared" si="4"/>
        <v>-9</v>
      </c>
      <c r="O14" s="10">
        <v>90.0</v>
      </c>
      <c r="P14" s="11">
        <v>581.0</v>
      </c>
    </row>
    <row r="15">
      <c r="A15" s="11">
        <v>7.0</v>
      </c>
      <c r="B15" s="12">
        <v>42352.0</v>
      </c>
      <c r="C15" s="12">
        <v>42359.0</v>
      </c>
      <c r="D15" s="11">
        <v>366.0</v>
      </c>
      <c r="E15" s="11">
        <v>348.0</v>
      </c>
      <c r="F15" s="13">
        <f t="shared" si="1"/>
        <v>402</v>
      </c>
      <c r="G15" s="11">
        <v>348.0</v>
      </c>
      <c r="H15" s="11">
        <v>348.0</v>
      </c>
      <c r="I15" s="13">
        <f t="shared" si="2"/>
        <v>18</v>
      </c>
      <c r="J15" s="11">
        <v>27.0</v>
      </c>
      <c r="K15" s="13">
        <f t="shared" si="3"/>
        <v>-486</v>
      </c>
      <c r="L15" s="11" t="s">
        <v>42</v>
      </c>
      <c r="M15" s="13">
        <f t="shared" si="5"/>
        <v>1440</v>
      </c>
      <c r="N15" s="13">
        <f t="shared" si="4"/>
        <v>-18</v>
      </c>
      <c r="O15" s="10">
        <v>493.0</v>
      </c>
      <c r="P15" s="11">
        <v>3568.0</v>
      </c>
    </row>
    <row r="16">
      <c r="A16" s="11">
        <v>8.0</v>
      </c>
      <c r="B16" s="12">
        <v>42471.0</v>
      </c>
      <c r="C16" s="11" t="s">
        <v>77</v>
      </c>
      <c r="D16" s="11">
        <v>360.0</v>
      </c>
      <c r="E16" s="11">
        <v>336.0</v>
      </c>
      <c r="F16" s="13">
        <f t="shared" si="1"/>
        <v>408</v>
      </c>
      <c r="G16" s="11">
        <v>408.0</v>
      </c>
      <c r="H16" s="11">
        <v>395.0</v>
      </c>
      <c r="I16" s="13">
        <f t="shared" si="2"/>
        <v>24</v>
      </c>
      <c r="J16" s="11">
        <v>20.0</v>
      </c>
      <c r="K16" s="13">
        <f t="shared" si="3"/>
        <v>830</v>
      </c>
      <c r="L16" s="11" t="s">
        <v>40</v>
      </c>
      <c r="M16" s="13">
        <f t="shared" si="5"/>
        <v>2270</v>
      </c>
      <c r="N16" s="13">
        <f t="shared" si="4"/>
        <v>41.5</v>
      </c>
      <c r="O16" s="10">
        <v>222.0</v>
      </c>
      <c r="P16" s="11">
        <v>2247.0</v>
      </c>
    </row>
    <row r="17">
      <c r="A17" s="11">
        <v>9.0</v>
      </c>
      <c r="B17" s="12">
        <v>42737.0</v>
      </c>
      <c r="C17" s="12">
        <v>43269.0</v>
      </c>
      <c r="D17" s="11">
        <v>363.0</v>
      </c>
      <c r="E17" s="11">
        <v>325.0</v>
      </c>
      <c r="F17" s="13">
        <f t="shared" si="1"/>
        <v>439</v>
      </c>
      <c r="G17" s="11">
        <v>439.0</v>
      </c>
      <c r="H17" s="11">
        <v>877.0</v>
      </c>
      <c r="I17" s="13">
        <f t="shared" si="2"/>
        <v>38</v>
      </c>
      <c r="J17" s="11">
        <v>13.0</v>
      </c>
      <c r="K17" s="13">
        <f t="shared" si="3"/>
        <v>3835</v>
      </c>
      <c r="L17" s="11" t="s">
        <v>40</v>
      </c>
      <c r="M17" s="13">
        <f t="shared" si="5"/>
        <v>6105</v>
      </c>
      <c r="N17" s="13">
        <f t="shared" si="4"/>
        <v>295</v>
      </c>
      <c r="O17" s="10">
        <v>494.0</v>
      </c>
      <c r="P17" s="11">
        <v>636.0</v>
      </c>
    </row>
    <row r="18">
      <c r="A18" s="11">
        <v>10.0</v>
      </c>
      <c r="B18" s="15">
        <v>43304.0</v>
      </c>
      <c r="C18" s="12">
        <v>43332.0</v>
      </c>
      <c r="D18" s="11">
        <v>894.0</v>
      </c>
      <c r="E18" s="11">
        <v>845.0</v>
      </c>
      <c r="F18" s="13">
        <f t="shared" si="1"/>
        <v>992</v>
      </c>
      <c r="G18" s="11">
        <v>885.0</v>
      </c>
      <c r="H18" s="11">
        <v>885.0</v>
      </c>
      <c r="I18" s="13">
        <f t="shared" si="2"/>
        <v>49</v>
      </c>
      <c r="J18" s="11">
        <v>10.0</v>
      </c>
      <c r="K18" s="13">
        <f t="shared" si="3"/>
        <v>-90</v>
      </c>
      <c r="L18" s="11" t="s">
        <v>42</v>
      </c>
      <c r="M18" s="13">
        <f t="shared" si="5"/>
        <v>6015</v>
      </c>
      <c r="N18" s="13">
        <f t="shared" si="4"/>
        <v>-9</v>
      </c>
      <c r="O18" s="10">
        <v>240.0</v>
      </c>
      <c r="P18" s="11">
        <v>3162.5</v>
      </c>
    </row>
    <row r="19">
      <c r="A19" s="11">
        <v>11.0</v>
      </c>
      <c r="B19" s="12">
        <v>43339.0</v>
      </c>
      <c r="C19" s="11" t="s">
        <v>80</v>
      </c>
      <c r="D19" s="11">
        <v>900.0</v>
      </c>
      <c r="E19" s="11">
        <v>871.0</v>
      </c>
      <c r="F19" s="13">
        <f t="shared" si="1"/>
        <v>958</v>
      </c>
      <c r="G19" s="11">
        <v>871.0</v>
      </c>
      <c r="H19" s="11">
        <v>871.0</v>
      </c>
      <c r="I19" s="13">
        <f t="shared" si="2"/>
        <v>29</v>
      </c>
      <c r="J19" s="11">
        <v>17.0</v>
      </c>
      <c r="K19" s="13">
        <f t="shared" si="3"/>
        <v>-493</v>
      </c>
      <c r="L19" s="11" t="s">
        <v>42</v>
      </c>
      <c r="M19" s="13">
        <f t="shared" si="5"/>
        <v>5522</v>
      </c>
      <c r="N19" s="13">
        <f t="shared" si="4"/>
        <v>-29</v>
      </c>
      <c r="O19" s="10">
        <v>282.0</v>
      </c>
      <c r="P19" s="11">
        <v>548.0</v>
      </c>
    </row>
    <row r="20">
      <c r="A20" s="11">
        <v>12.0</v>
      </c>
      <c r="B20" s="12">
        <v>43402.0</v>
      </c>
      <c r="C20" s="12">
        <v>43409.0</v>
      </c>
      <c r="D20" s="11">
        <v>884.0</v>
      </c>
      <c r="E20" s="11">
        <v>807.0</v>
      </c>
      <c r="F20" s="13">
        <f t="shared" si="1"/>
        <v>1038</v>
      </c>
      <c r="G20" s="11">
        <v>847.0</v>
      </c>
      <c r="H20" s="11">
        <v>847.0</v>
      </c>
      <c r="I20" s="13">
        <f t="shared" si="2"/>
        <v>77</v>
      </c>
      <c r="J20" s="11">
        <v>6.0</v>
      </c>
      <c r="K20" s="13">
        <f t="shared" si="3"/>
        <v>-222</v>
      </c>
      <c r="L20" s="11" t="s">
        <v>42</v>
      </c>
      <c r="M20" s="13">
        <f t="shared" si="5"/>
        <v>5300</v>
      </c>
      <c r="N20" s="13">
        <f t="shared" si="4"/>
        <v>-37</v>
      </c>
      <c r="O20" s="10">
        <v>368.0</v>
      </c>
      <c r="P20" s="11">
        <v>759.0</v>
      </c>
    </row>
    <row r="21">
      <c r="A21" s="11">
        <v>13.0</v>
      </c>
      <c r="B21" s="12">
        <v>43416.0</v>
      </c>
      <c r="C21" s="12">
        <v>43654.0</v>
      </c>
      <c r="D21" s="11">
        <v>929.0</v>
      </c>
      <c r="E21" s="11">
        <v>843.0</v>
      </c>
      <c r="F21" s="13">
        <f t="shared" si="1"/>
        <v>1101</v>
      </c>
      <c r="G21" s="11">
        <v>1101.0</v>
      </c>
      <c r="H21" s="11">
        <v>1101.0</v>
      </c>
      <c r="I21" s="13">
        <f t="shared" si="2"/>
        <v>86</v>
      </c>
      <c r="J21" s="11">
        <v>5.0</v>
      </c>
      <c r="K21" s="13">
        <f t="shared" si="3"/>
        <v>860</v>
      </c>
      <c r="L21" s="11" t="s">
        <v>40</v>
      </c>
      <c r="M21" s="13">
        <f t="shared" si="5"/>
        <v>6160</v>
      </c>
      <c r="N21" s="13">
        <f t="shared" si="4"/>
        <v>172</v>
      </c>
      <c r="O21" s="10">
        <v>492.0</v>
      </c>
      <c r="P21" s="11">
        <v>450.0</v>
      </c>
    </row>
    <row r="22">
      <c r="A22" s="11">
        <v>14.0</v>
      </c>
      <c r="B22" s="11" t="s">
        <v>88</v>
      </c>
      <c r="C22" s="12">
        <v>43773.0</v>
      </c>
      <c r="D22" s="11">
        <v>1126.0</v>
      </c>
      <c r="E22" s="11">
        <v>1058.0</v>
      </c>
      <c r="F22" s="13">
        <f t="shared" si="1"/>
        <v>1262</v>
      </c>
      <c r="G22" s="11">
        <v>1262.0</v>
      </c>
      <c r="H22" s="11">
        <v>1156.0</v>
      </c>
      <c r="I22" s="13">
        <f t="shared" si="2"/>
        <v>68</v>
      </c>
      <c r="J22" s="11">
        <v>7.0</v>
      </c>
      <c r="K22" s="13">
        <f t="shared" si="3"/>
        <v>581</v>
      </c>
      <c r="L22" s="11" t="s">
        <v>40</v>
      </c>
      <c r="M22" s="13">
        <f t="shared" si="5"/>
        <v>6741</v>
      </c>
      <c r="N22" s="13">
        <f t="shared" si="4"/>
        <v>83</v>
      </c>
      <c r="O22" s="10">
        <v>456.0</v>
      </c>
      <c r="P22" s="11">
        <v>1171.0</v>
      </c>
    </row>
    <row r="23">
      <c r="A23" s="11">
        <v>15.0</v>
      </c>
      <c r="B23" s="12">
        <v>43808.0</v>
      </c>
      <c r="C23" s="12">
        <v>43829.0</v>
      </c>
      <c r="D23" s="11">
        <v>1203.0</v>
      </c>
      <c r="E23" s="11">
        <v>1165.0</v>
      </c>
      <c r="F23" s="13">
        <f t="shared" si="1"/>
        <v>1279</v>
      </c>
      <c r="G23" s="11">
        <v>1165.0</v>
      </c>
      <c r="H23" s="11">
        <v>1165.0</v>
      </c>
      <c r="I23" s="13">
        <f t="shared" si="2"/>
        <v>38</v>
      </c>
      <c r="J23" s="11">
        <v>13.0</v>
      </c>
      <c r="K23" s="13">
        <f t="shared" si="3"/>
        <v>-494</v>
      </c>
      <c r="L23" s="11" t="s">
        <v>42</v>
      </c>
      <c r="M23" s="13">
        <f t="shared" si="5"/>
        <v>6247</v>
      </c>
      <c r="N23" s="13">
        <f t="shared" si="4"/>
        <v>-38</v>
      </c>
      <c r="O23" s="10">
        <v>216.0</v>
      </c>
      <c r="P23" s="13">
        <f>AVERAGE(P9:P22)</f>
        <v>1582.821429</v>
      </c>
    </row>
    <row r="24">
      <c r="A24" s="11">
        <v>16.0</v>
      </c>
      <c r="B24" s="12">
        <v>43843.0</v>
      </c>
      <c r="C24" s="12">
        <v>43857.0</v>
      </c>
      <c r="D24" s="11">
        <v>1197.0</v>
      </c>
      <c r="E24" s="11">
        <v>1148.0</v>
      </c>
      <c r="F24" s="13">
        <f t="shared" si="1"/>
        <v>1295</v>
      </c>
      <c r="G24" s="11">
        <v>1173.0</v>
      </c>
      <c r="H24" s="11">
        <v>1173.0</v>
      </c>
      <c r="I24" s="13">
        <f t="shared" si="2"/>
        <v>49</v>
      </c>
      <c r="J24" s="11">
        <v>10.0</v>
      </c>
      <c r="K24" s="13">
        <f t="shared" si="3"/>
        <v>-240</v>
      </c>
      <c r="L24" s="11" t="s">
        <v>42</v>
      </c>
      <c r="M24" s="13">
        <f t="shared" si="5"/>
        <v>6007</v>
      </c>
      <c r="N24" s="13">
        <f t="shared" si="4"/>
        <v>-24</v>
      </c>
      <c r="O24" s="10">
        <v>483.0</v>
      </c>
      <c r="P24" s="13"/>
    </row>
    <row r="25">
      <c r="A25" s="11">
        <v>17.0</v>
      </c>
      <c r="B25" s="12">
        <v>44011.0</v>
      </c>
      <c r="C25" s="12">
        <v>44018.0</v>
      </c>
      <c r="D25" s="11">
        <v>1008.0</v>
      </c>
      <c r="E25" s="11">
        <v>935.0</v>
      </c>
      <c r="F25" s="13">
        <f t="shared" si="1"/>
        <v>1154</v>
      </c>
      <c r="G25" s="11">
        <v>961.0</v>
      </c>
      <c r="H25" s="11">
        <v>961.0</v>
      </c>
      <c r="I25" s="13">
        <f t="shared" si="2"/>
        <v>73</v>
      </c>
      <c r="J25" s="11">
        <v>6.0</v>
      </c>
      <c r="K25" s="13">
        <f t="shared" si="3"/>
        <v>-282</v>
      </c>
      <c r="L25" s="11" t="s">
        <v>42</v>
      </c>
      <c r="M25" s="13">
        <f t="shared" si="5"/>
        <v>5725</v>
      </c>
      <c r="N25" s="13">
        <f t="shared" si="4"/>
        <v>-47</v>
      </c>
      <c r="O25" s="10">
        <v>136.0</v>
      </c>
      <c r="P25" s="13"/>
    </row>
    <row r="26">
      <c r="A26" s="11">
        <v>18.0</v>
      </c>
      <c r="B26" s="12">
        <v>44025.0</v>
      </c>
      <c r="C26" s="15">
        <v>44319.0</v>
      </c>
      <c r="D26" s="11">
        <v>1000.0</v>
      </c>
      <c r="E26" s="11">
        <v>941.0</v>
      </c>
      <c r="F26" s="13">
        <f t="shared" si="1"/>
        <v>1118</v>
      </c>
      <c r="G26" s="11">
        <v>1446.0</v>
      </c>
      <c r="H26" s="11">
        <v>1446.0</v>
      </c>
      <c r="I26" s="13">
        <f t="shared" si="2"/>
        <v>59</v>
      </c>
      <c r="J26" s="11">
        <v>8.0</v>
      </c>
      <c r="K26" s="13">
        <f t="shared" si="3"/>
        <v>3568</v>
      </c>
      <c r="L26" s="11" t="s">
        <v>40</v>
      </c>
      <c r="M26" s="13">
        <f t="shared" si="5"/>
        <v>9293</v>
      </c>
      <c r="N26" s="13">
        <f t="shared" si="4"/>
        <v>446</v>
      </c>
      <c r="O26" s="10">
        <v>125.0</v>
      </c>
      <c r="P26" s="13"/>
    </row>
    <row r="27">
      <c r="A27" s="11">
        <v>19.0</v>
      </c>
      <c r="B27" s="15">
        <v>44333.0</v>
      </c>
      <c r="C27" s="12">
        <v>44585.0</v>
      </c>
      <c r="D27" s="11">
        <v>1566.0</v>
      </c>
      <c r="E27" s="11">
        <v>1438.0</v>
      </c>
      <c r="F27" s="13">
        <f t="shared" si="1"/>
        <v>1822</v>
      </c>
      <c r="G27" s="11">
        <v>2315.0</v>
      </c>
      <c r="H27" s="11">
        <v>2315.0</v>
      </c>
      <c r="I27" s="13">
        <f t="shared" si="2"/>
        <v>128</v>
      </c>
      <c r="J27" s="11">
        <v>3.0</v>
      </c>
      <c r="K27" s="13">
        <f t="shared" si="3"/>
        <v>2247</v>
      </c>
      <c r="L27" s="11" t="s">
        <v>40</v>
      </c>
      <c r="M27" s="13">
        <f t="shared" si="5"/>
        <v>11540</v>
      </c>
      <c r="N27" s="13">
        <f t="shared" si="4"/>
        <v>749</v>
      </c>
      <c r="O27" s="10">
        <v>500.0</v>
      </c>
      <c r="P27" s="13"/>
    </row>
    <row r="28">
      <c r="A28" s="11">
        <v>20.0</v>
      </c>
      <c r="B28" s="12">
        <v>44592.0</v>
      </c>
      <c r="C28" s="15">
        <v>44627.0</v>
      </c>
      <c r="D28" s="11">
        <v>2520.0</v>
      </c>
      <c r="E28" s="11">
        <v>2336.0</v>
      </c>
      <c r="F28" s="13">
        <f t="shared" si="1"/>
        <v>2888</v>
      </c>
      <c r="G28" s="11">
        <v>2336.0</v>
      </c>
      <c r="H28" s="11">
        <v>2336.0</v>
      </c>
      <c r="I28" s="13">
        <f t="shared" si="2"/>
        <v>184</v>
      </c>
      <c r="J28" s="11">
        <v>2.0</v>
      </c>
      <c r="K28" s="13">
        <f t="shared" si="3"/>
        <v>-368</v>
      </c>
      <c r="L28" s="11" t="s">
        <v>42</v>
      </c>
      <c r="M28" s="13">
        <f t="shared" si="5"/>
        <v>11172</v>
      </c>
      <c r="N28" s="13">
        <f t="shared" si="4"/>
        <v>-184</v>
      </c>
      <c r="O28" s="10">
        <v>46.0</v>
      </c>
      <c r="P28" s="13"/>
    </row>
    <row r="29">
      <c r="A29" s="11">
        <v>21.0</v>
      </c>
      <c r="B29" s="12">
        <v>44634.0</v>
      </c>
      <c r="C29" s="12">
        <v>44655.0</v>
      </c>
      <c r="D29" s="11">
        <v>2721.0</v>
      </c>
      <c r="E29" s="11">
        <v>2475.0</v>
      </c>
      <c r="F29" s="13">
        <f t="shared" si="1"/>
        <v>3213</v>
      </c>
      <c r="G29" s="11">
        <v>2475.0</v>
      </c>
      <c r="H29" s="11">
        <v>2475.0</v>
      </c>
      <c r="I29" s="13">
        <f t="shared" si="2"/>
        <v>246</v>
      </c>
      <c r="J29" s="11">
        <v>2.0</v>
      </c>
      <c r="K29" s="13">
        <f t="shared" si="3"/>
        <v>-492</v>
      </c>
      <c r="L29" s="11" t="s">
        <v>42</v>
      </c>
      <c r="M29" s="13">
        <f t="shared" si="5"/>
        <v>10680</v>
      </c>
      <c r="N29" s="13">
        <f t="shared" si="4"/>
        <v>-246</v>
      </c>
      <c r="O29" s="10">
        <v>303.0</v>
      </c>
      <c r="P29" s="13"/>
    </row>
    <row r="30">
      <c r="A30" s="11">
        <v>22.0</v>
      </c>
      <c r="B30" s="12">
        <v>44669.0</v>
      </c>
      <c r="C30" s="15">
        <v>44683.0</v>
      </c>
      <c r="D30" s="11">
        <v>2562.0</v>
      </c>
      <c r="E30" s="11">
        <v>2410.0</v>
      </c>
      <c r="F30" s="13">
        <f t="shared" si="1"/>
        <v>2866</v>
      </c>
      <c r="G30" s="11">
        <v>2410.0</v>
      </c>
      <c r="H30" s="11">
        <v>2410.0</v>
      </c>
      <c r="I30" s="13">
        <f t="shared" si="2"/>
        <v>152</v>
      </c>
      <c r="J30" s="11">
        <v>3.0</v>
      </c>
      <c r="K30" s="13">
        <f t="shared" si="3"/>
        <v>-456</v>
      </c>
      <c r="L30" s="11" t="s">
        <v>42</v>
      </c>
      <c r="M30" s="13">
        <f t="shared" si="5"/>
        <v>10224</v>
      </c>
      <c r="N30" s="13">
        <f t="shared" si="4"/>
        <v>-152</v>
      </c>
      <c r="O30" s="10">
        <v>403.0</v>
      </c>
      <c r="P30" s="13"/>
    </row>
    <row r="31">
      <c r="A31" s="11">
        <v>23.0</v>
      </c>
      <c r="B31" s="15">
        <v>44760.0</v>
      </c>
      <c r="C31" s="12">
        <v>44907.0</v>
      </c>
      <c r="D31" s="11">
        <v>2330.0</v>
      </c>
      <c r="E31" s="11">
        <v>2194.0</v>
      </c>
      <c r="F31" s="13">
        <f t="shared" si="1"/>
        <v>2602</v>
      </c>
      <c r="G31" s="11">
        <v>2602.0</v>
      </c>
      <c r="H31" s="11">
        <v>2482.0</v>
      </c>
      <c r="I31" s="13">
        <f t="shared" si="2"/>
        <v>136</v>
      </c>
      <c r="J31" s="11">
        <v>3.0</v>
      </c>
      <c r="K31" s="13">
        <f t="shared" si="3"/>
        <v>636</v>
      </c>
      <c r="L31" s="11" t="s">
        <v>40</v>
      </c>
      <c r="M31" s="13">
        <f t="shared" si="5"/>
        <v>10860</v>
      </c>
      <c r="N31" s="13">
        <f t="shared" si="4"/>
        <v>212</v>
      </c>
      <c r="O31" s="10">
        <v>496.0</v>
      </c>
      <c r="P31" s="13"/>
    </row>
    <row r="32">
      <c r="A32" s="11">
        <v>24.0</v>
      </c>
      <c r="B32" s="12">
        <v>44921.0</v>
      </c>
      <c r="C32" s="12">
        <v>44929.0</v>
      </c>
      <c r="D32" s="11">
        <v>2610.0</v>
      </c>
      <c r="E32" s="11">
        <v>2470.0</v>
      </c>
      <c r="F32" s="13">
        <f t="shared" si="1"/>
        <v>2890</v>
      </c>
      <c r="G32" s="11">
        <v>2538.0</v>
      </c>
      <c r="H32" s="11">
        <v>2538.0</v>
      </c>
      <c r="I32" s="13">
        <f t="shared" si="2"/>
        <v>140</v>
      </c>
      <c r="J32" s="11">
        <v>3.0</v>
      </c>
      <c r="K32" s="13">
        <f t="shared" si="3"/>
        <v>-216</v>
      </c>
      <c r="L32" s="11" t="s">
        <v>42</v>
      </c>
      <c r="M32" s="13">
        <f t="shared" si="5"/>
        <v>10644</v>
      </c>
      <c r="N32" s="13">
        <f t="shared" si="4"/>
        <v>-72</v>
      </c>
      <c r="O32" s="10">
        <v>405.0</v>
      </c>
      <c r="P32" s="13"/>
    </row>
    <row r="33">
      <c r="A33" s="11">
        <v>25.0</v>
      </c>
      <c r="B33" s="12">
        <v>44970.0</v>
      </c>
      <c r="C33" s="12">
        <v>44977.0</v>
      </c>
      <c r="D33" s="11">
        <v>2545.0</v>
      </c>
      <c r="E33" s="11">
        <v>2476.0</v>
      </c>
      <c r="F33" s="13">
        <f t="shared" si="1"/>
        <v>2683</v>
      </c>
      <c r="G33" s="11">
        <v>2476.0</v>
      </c>
      <c r="H33" s="11">
        <v>2476.0</v>
      </c>
      <c r="I33" s="13">
        <f t="shared" si="2"/>
        <v>69</v>
      </c>
      <c r="J33" s="11">
        <v>7.0</v>
      </c>
      <c r="K33" s="13">
        <f t="shared" si="3"/>
        <v>-483</v>
      </c>
      <c r="L33" s="11" t="s">
        <v>42</v>
      </c>
      <c r="M33" s="13">
        <f t="shared" si="5"/>
        <v>10161</v>
      </c>
      <c r="N33" s="13">
        <f t="shared" si="4"/>
        <v>-69</v>
      </c>
      <c r="O33" s="10">
        <v>368.0</v>
      </c>
      <c r="P33" s="13"/>
    </row>
    <row r="34">
      <c r="A34" s="11">
        <v>26.0</v>
      </c>
      <c r="B34" s="12">
        <v>45005.0</v>
      </c>
      <c r="C34" s="12">
        <v>45390.0</v>
      </c>
      <c r="D34" s="11">
        <v>2528.0</v>
      </c>
      <c r="E34" s="11">
        <v>2441.0</v>
      </c>
      <c r="F34" s="13">
        <f t="shared" si="1"/>
        <v>2702</v>
      </c>
      <c r="G34" s="11">
        <v>2702.0</v>
      </c>
      <c r="H34" s="11">
        <v>3619.0</v>
      </c>
      <c r="I34" s="13">
        <f t="shared" si="2"/>
        <v>87</v>
      </c>
      <c r="J34" s="11">
        <v>5.0</v>
      </c>
      <c r="K34" s="13">
        <f t="shared" si="3"/>
        <v>3162.5</v>
      </c>
      <c r="L34" s="11" t="s">
        <v>40</v>
      </c>
      <c r="M34" s="13">
        <f t="shared" si="5"/>
        <v>13323.5</v>
      </c>
      <c r="N34" s="13">
        <f t="shared" si="4"/>
        <v>632.5</v>
      </c>
      <c r="O34" s="10">
        <v>78.0</v>
      </c>
      <c r="P34" s="13"/>
    </row>
    <row r="35">
      <c r="A35" s="11">
        <v>27.0</v>
      </c>
      <c r="B35" s="12">
        <v>45453.0</v>
      </c>
      <c r="C35" s="12">
        <v>45461.0</v>
      </c>
      <c r="D35" s="11">
        <v>3535.0</v>
      </c>
      <c r="E35" s="11">
        <v>3370.0</v>
      </c>
      <c r="F35" s="13">
        <f t="shared" si="1"/>
        <v>3865</v>
      </c>
      <c r="G35" s="11">
        <v>3399.0</v>
      </c>
      <c r="H35" s="11">
        <v>3399.0</v>
      </c>
      <c r="I35" s="13">
        <f t="shared" si="2"/>
        <v>165</v>
      </c>
      <c r="J35" s="11">
        <v>1.0</v>
      </c>
      <c r="K35" s="13">
        <f t="shared" si="3"/>
        <v>-136</v>
      </c>
      <c r="L35" s="11" t="s">
        <v>42</v>
      </c>
      <c r="M35" s="13">
        <f t="shared" si="5"/>
        <v>13187.5</v>
      </c>
      <c r="N35" s="13">
        <f t="shared" si="4"/>
        <v>-136</v>
      </c>
      <c r="P35" s="13"/>
    </row>
    <row r="36">
      <c r="A36" s="11">
        <v>28.0</v>
      </c>
      <c r="B36" s="12">
        <v>45656.0</v>
      </c>
      <c r="C36" s="12">
        <v>45670.0</v>
      </c>
      <c r="D36" s="11">
        <v>3482.0</v>
      </c>
      <c r="E36" s="11">
        <v>3230.0</v>
      </c>
      <c r="F36" s="13">
        <f t="shared" si="1"/>
        <v>3986</v>
      </c>
      <c r="G36" s="11">
        <v>3357.0</v>
      </c>
      <c r="H36" s="11">
        <v>3357.0</v>
      </c>
      <c r="I36" s="13">
        <f t="shared" si="2"/>
        <v>252</v>
      </c>
      <c r="J36" s="11">
        <v>1.0</v>
      </c>
      <c r="K36" s="13">
        <f t="shared" si="3"/>
        <v>-125</v>
      </c>
      <c r="L36" s="11" t="s">
        <v>42</v>
      </c>
      <c r="M36" s="13">
        <f t="shared" si="5"/>
        <v>13062.5</v>
      </c>
      <c r="N36" s="13">
        <f t="shared" si="4"/>
        <v>-125</v>
      </c>
      <c r="P36" s="13"/>
    </row>
    <row r="37">
      <c r="A37" s="11">
        <v>29.0</v>
      </c>
      <c r="B37" s="12">
        <v>45762.0</v>
      </c>
      <c r="C37" s="12">
        <v>45845.0</v>
      </c>
      <c r="D37" s="11">
        <v>3335.0</v>
      </c>
      <c r="E37" s="11">
        <v>3211.0</v>
      </c>
      <c r="F37" s="13">
        <f t="shared" si="1"/>
        <v>3583</v>
      </c>
      <c r="G37" s="11">
        <v>3583.0</v>
      </c>
      <c r="H37" s="11">
        <v>3361.0</v>
      </c>
      <c r="I37" s="13">
        <f t="shared" si="2"/>
        <v>124</v>
      </c>
      <c r="J37" s="11">
        <v>4.0</v>
      </c>
      <c r="K37" s="13">
        <f t="shared" si="3"/>
        <v>548</v>
      </c>
      <c r="L37" s="11" t="s">
        <v>40</v>
      </c>
      <c r="M37" s="13">
        <f t="shared" si="5"/>
        <v>13610.5</v>
      </c>
      <c r="N37" s="13">
        <f t="shared" si="4"/>
        <v>137</v>
      </c>
      <c r="P37" s="13"/>
    </row>
    <row r="38">
      <c r="A38" s="11">
        <v>30.0</v>
      </c>
      <c r="B38" s="12">
        <v>45859.0</v>
      </c>
      <c r="C38" s="12">
        <v>45866.0</v>
      </c>
      <c r="D38" s="11">
        <v>3490.0</v>
      </c>
      <c r="E38" s="11">
        <v>3365.0</v>
      </c>
      <c r="F38" s="13">
        <f t="shared" si="1"/>
        <v>3740</v>
      </c>
      <c r="G38" s="11">
        <v>3365.0</v>
      </c>
      <c r="H38" s="11">
        <v>3365.0</v>
      </c>
      <c r="I38" s="13">
        <f t="shared" si="2"/>
        <v>125</v>
      </c>
      <c r="J38" s="11">
        <v>4.0</v>
      </c>
      <c r="K38" s="13">
        <f t="shared" si="3"/>
        <v>-500</v>
      </c>
      <c r="L38" s="11" t="s">
        <v>42</v>
      </c>
      <c r="M38" s="13">
        <f t="shared" si="5"/>
        <v>13110.5</v>
      </c>
      <c r="N38" s="13">
        <f t="shared" si="4"/>
        <v>-125</v>
      </c>
      <c r="P38" s="13"/>
    </row>
    <row r="39">
      <c r="A39" s="11">
        <v>31.0</v>
      </c>
      <c r="B39" s="12">
        <v>45873.0</v>
      </c>
      <c r="C39" s="11" t="s">
        <v>90</v>
      </c>
      <c r="D39" s="11">
        <v>3490.0</v>
      </c>
      <c r="E39" s="11">
        <v>3308.0</v>
      </c>
      <c r="F39" s="13">
        <f t="shared" si="1"/>
        <v>3854</v>
      </c>
      <c r="G39" s="11">
        <v>3467.0</v>
      </c>
      <c r="H39" s="11">
        <v>3467.0</v>
      </c>
      <c r="I39" s="13">
        <f t="shared" si="2"/>
        <v>182</v>
      </c>
      <c r="J39" s="11">
        <v>2.0</v>
      </c>
      <c r="K39" s="13">
        <f t="shared" si="3"/>
        <v>-46</v>
      </c>
      <c r="L39" s="11" t="s">
        <v>42</v>
      </c>
      <c r="M39" s="13">
        <f t="shared" si="5"/>
        <v>13064.5</v>
      </c>
      <c r="N39" s="13">
        <f t="shared" si="4"/>
        <v>-23</v>
      </c>
      <c r="P39" s="13"/>
    </row>
    <row r="40">
      <c r="A40" s="11">
        <v>32.0</v>
      </c>
      <c r="B40" s="12">
        <v>45936.0</v>
      </c>
      <c r="C40" s="12">
        <v>46104.0</v>
      </c>
      <c r="D40" s="11">
        <v>3580.0</v>
      </c>
      <c r="E40" s="11">
        <v>3401.0</v>
      </c>
      <c r="F40" s="13">
        <f t="shared" si="1"/>
        <v>3938</v>
      </c>
      <c r="G40" s="11">
        <v>3938.0</v>
      </c>
      <c r="H40" s="11">
        <v>3981.0</v>
      </c>
      <c r="I40" s="13">
        <f t="shared" si="2"/>
        <v>179</v>
      </c>
      <c r="J40" s="11">
        <v>2.0</v>
      </c>
      <c r="K40" s="13">
        <f t="shared" si="3"/>
        <v>759</v>
      </c>
      <c r="L40" s="11" t="s">
        <v>40</v>
      </c>
      <c r="M40" s="13">
        <f t="shared" si="5"/>
        <v>13823.5</v>
      </c>
      <c r="N40" s="13">
        <f t="shared" si="4"/>
        <v>379.5</v>
      </c>
      <c r="P40" s="13"/>
    </row>
    <row r="41">
      <c r="A41" s="11">
        <v>33.0</v>
      </c>
      <c r="B41" s="12">
        <v>46111.0</v>
      </c>
      <c r="C41" s="15">
        <v>46153.0</v>
      </c>
      <c r="D41" s="11">
        <v>4109.0</v>
      </c>
      <c r="E41" s="11">
        <v>3914.0</v>
      </c>
      <c r="F41" s="13">
        <f t="shared" si="1"/>
        <v>4499</v>
      </c>
      <c r="G41" s="11">
        <v>4499.0</v>
      </c>
      <c r="H41" s="11">
        <v>4169.0</v>
      </c>
      <c r="I41" s="13">
        <f t="shared" si="2"/>
        <v>195</v>
      </c>
      <c r="J41" s="11">
        <v>2.0</v>
      </c>
      <c r="K41" s="13">
        <f t="shared" si="3"/>
        <v>450</v>
      </c>
      <c r="L41" s="11" t="s">
        <v>40</v>
      </c>
      <c r="M41" s="13">
        <f t="shared" si="5"/>
        <v>14273.5</v>
      </c>
      <c r="N41" s="13">
        <f t="shared" si="4"/>
        <v>225</v>
      </c>
      <c r="P41" s="13"/>
    </row>
    <row r="42">
      <c r="A42" s="11">
        <v>34.0</v>
      </c>
      <c r="B42" s="12">
        <v>46174.0</v>
      </c>
      <c r="C42" s="12">
        <v>46181.0</v>
      </c>
      <c r="D42" s="11">
        <v>4289.0</v>
      </c>
      <c r="E42" s="11">
        <v>3986.0</v>
      </c>
      <c r="F42" s="13">
        <f t="shared" si="1"/>
        <v>4895</v>
      </c>
      <c r="G42" s="11">
        <v>3986.0</v>
      </c>
      <c r="H42" s="11">
        <v>3986.0</v>
      </c>
      <c r="I42" s="13">
        <f t="shared" si="2"/>
        <v>303</v>
      </c>
      <c r="J42" s="11">
        <v>1.0</v>
      </c>
      <c r="K42" s="13">
        <f t="shared" si="3"/>
        <v>-303</v>
      </c>
      <c r="L42" s="11" t="s">
        <v>42</v>
      </c>
      <c r="M42" s="13">
        <f t="shared" si="5"/>
        <v>13970.5</v>
      </c>
      <c r="N42" s="13">
        <f t="shared" si="4"/>
        <v>-303</v>
      </c>
      <c r="P42" s="13"/>
    </row>
    <row r="43">
      <c r="A43" s="11">
        <v>35.0</v>
      </c>
      <c r="B43" s="12">
        <v>42289.0</v>
      </c>
      <c r="C43" s="12">
        <v>42296.0</v>
      </c>
      <c r="D43" s="11">
        <v>356.0</v>
      </c>
      <c r="E43" s="11">
        <v>340.0</v>
      </c>
      <c r="F43" s="13">
        <f t="shared" si="1"/>
        <v>388</v>
      </c>
      <c r="G43" s="11">
        <v>343.0</v>
      </c>
      <c r="H43" s="11">
        <v>343.0</v>
      </c>
      <c r="I43" s="13">
        <f t="shared" si="2"/>
        <v>16</v>
      </c>
      <c r="J43" s="11">
        <v>31.0</v>
      </c>
      <c r="K43" s="13">
        <f t="shared" si="3"/>
        <v>-403</v>
      </c>
      <c r="L43" s="11" t="s">
        <v>42</v>
      </c>
      <c r="M43" s="13">
        <f t="shared" si="5"/>
        <v>13567.5</v>
      </c>
      <c r="N43" s="13">
        <f t="shared" si="4"/>
        <v>-13</v>
      </c>
    </row>
    <row r="44">
      <c r="A44" s="11">
        <v>36.0</v>
      </c>
      <c r="B44" s="12">
        <v>42394.0</v>
      </c>
      <c r="C44" s="12">
        <v>42415.0</v>
      </c>
      <c r="D44" s="11">
        <v>367.0</v>
      </c>
      <c r="E44" s="11">
        <v>336.0</v>
      </c>
      <c r="F44" s="13">
        <f t="shared" si="1"/>
        <v>429</v>
      </c>
      <c r="G44" s="11">
        <v>336.0</v>
      </c>
      <c r="H44" s="11">
        <v>336.0</v>
      </c>
      <c r="I44" s="13">
        <f t="shared" si="2"/>
        <v>31</v>
      </c>
      <c r="J44" s="11">
        <v>16.0</v>
      </c>
      <c r="K44" s="13">
        <f t="shared" si="3"/>
        <v>-496</v>
      </c>
      <c r="L44" s="11" t="s">
        <v>42</v>
      </c>
      <c r="M44" s="13">
        <f t="shared" si="5"/>
        <v>13071.5</v>
      </c>
      <c r="N44" s="13">
        <f t="shared" si="4"/>
        <v>-31</v>
      </c>
    </row>
    <row r="45">
      <c r="A45" s="11">
        <v>37.0</v>
      </c>
      <c r="B45" s="12">
        <v>43864.0</v>
      </c>
      <c r="C45" s="12">
        <v>43899.0</v>
      </c>
      <c r="D45" s="11">
        <v>1297.0</v>
      </c>
      <c r="E45" s="11">
        <v>1162.0</v>
      </c>
      <c r="F45" s="13">
        <f t="shared" si="1"/>
        <v>1567</v>
      </c>
      <c r="G45" s="11">
        <v>1162.0</v>
      </c>
      <c r="H45" s="11">
        <v>1162.0</v>
      </c>
      <c r="I45" s="13">
        <f t="shared" si="2"/>
        <v>135</v>
      </c>
      <c r="J45" s="11">
        <v>3.0</v>
      </c>
      <c r="K45" s="13">
        <f t="shared" si="3"/>
        <v>-405</v>
      </c>
      <c r="L45" s="11" t="s">
        <v>42</v>
      </c>
      <c r="M45" s="13">
        <f t="shared" si="5"/>
        <v>12666.5</v>
      </c>
      <c r="N45" s="13">
        <f t="shared" si="4"/>
        <v>-135</v>
      </c>
    </row>
    <row r="46">
      <c r="A46" s="11">
        <v>38.0</v>
      </c>
      <c r="B46" s="12">
        <v>44592.0</v>
      </c>
      <c r="C46" s="15">
        <v>44683.0</v>
      </c>
      <c r="D46" s="11">
        <v>2520.0</v>
      </c>
      <c r="E46" s="11">
        <v>2336.0</v>
      </c>
      <c r="F46" s="13">
        <f t="shared" si="1"/>
        <v>2888</v>
      </c>
      <c r="G46" s="11">
        <v>2336.0</v>
      </c>
      <c r="H46" s="11">
        <v>2336.0</v>
      </c>
      <c r="I46" s="13">
        <f t="shared" si="2"/>
        <v>184</v>
      </c>
      <c r="J46" s="11">
        <v>2.0</v>
      </c>
      <c r="K46" s="13">
        <f t="shared" si="3"/>
        <v>-368</v>
      </c>
      <c r="L46" s="11" t="s">
        <v>42</v>
      </c>
      <c r="M46" s="13">
        <f t="shared" si="5"/>
        <v>12298.5</v>
      </c>
      <c r="N46" s="13">
        <f t="shared" si="4"/>
        <v>-184</v>
      </c>
    </row>
    <row r="47">
      <c r="A47" s="11">
        <v>39.0</v>
      </c>
      <c r="B47" s="12">
        <v>45495.0</v>
      </c>
      <c r="C47" s="12">
        <v>45572.0</v>
      </c>
      <c r="D47" s="11">
        <v>3552.0</v>
      </c>
      <c r="E47" s="11">
        <v>3223.0</v>
      </c>
      <c r="F47" s="13">
        <f t="shared" si="1"/>
        <v>4210</v>
      </c>
      <c r="G47" s="11">
        <v>3474.0</v>
      </c>
      <c r="H47" s="11">
        <v>3474.0</v>
      </c>
      <c r="I47" s="13">
        <f t="shared" si="2"/>
        <v>329</v>
      </c>
      <c r="J47" s="11">
        <v>1.0</v>
      </c>
      <c r="K47" s="13">
        <f t="shared" si="3"/>
        <v>-78</v>
      </c>
      <c r="L47" s="11" t="s">
        <v>42</v>
      </c>
      <c r="M47" s="13">
        <f t="shared" si="5"/>
        <v>12220.5</v>
      </c>
      <c r="N47" s="13">
        <f t="shared" si="4"/>
        <v>-78</v>
      </c>
    </row>
    <row r="48">
      <c r="A48" s="11" t="s">
        <v>94</v>
      </c>
      <c r="B48" s="12">
        <v>46188.0</v>
      </c>
      <c r="C48" s="12">
        <v>46258.0</v>
      </c>
      <c r="D48" s="11">
        <v>4442.0</v>
      </c>
      <c r="E48" s="11">
        <v>4220.0</v>
      </c>
      <c r="F48" s="13">
        <f t="shared" si="1"/>
        <v>4886</v>
      </c>
      <c r="G48" s="11">
        <v>4886.0</v>
      </c>
      <c r="H48" s="11">
        <v>5169.0</v>
      </c>
      <c r="I48" s="13">
        <f t="shared" si="2"/>
        <v>222</v>
      </c>
      <c r="J48" s="11">
        <v>2.0</v>
      </c>
      <c r="K48" s="13">
        <f t="shared" si="3"/>
        <v>1171</v>
      </c>
      <c r="L48" s="11" t="s">
        <v>40</v>
      </c>
      <c r="M48" s="13">
        <f t="shared" si="5"/>
        <v>13391.5</v>
      </c>
      <c r="N48" s="13">
        <f t="shared" si="4"/>
        <v>585.5</v>
      </c>
    </row>
    <row r="52">
      <c r="B52" s="11"/>
      <c r="C52" s="11"/>
    </row>
    <row r="53">
      <c r="B53" s="11"/>
      <c r="C53" s="13"/>
    </row>
    <row r="55">
      <c r="D55" s="41"/>
      <c r="E55" s="42" t="s">
        <v>95</v>
      </c>
      <c r="F55" s="43"/>
      <c r="G55" s="11" t="s">
        <v>97</v>
      </c>
      <c r="H55" s="11">
        <v>1582.82</v>
      </c>
      <c r="I55" s="11" t="s">
        <v>98</v>
      </c>
      <c r="J55" s="11">
        <v>48.03</v>
      </c>
    </row>
    <row r="56">
      <c r="D56" s="41"/>
      <c r="E56" s="42" t="s">
        <v>99</v>
      </c>
      <c r="F56" s="43"/>
      <c r="G56" s="11" t="s">
        <v>100</v>
      </c>
      <c r="H56" s="11">
        <v>337.23</v>
      </c>
      <c r="I56" s="11" t="s">
        <v>67</v>
      </c>
      <c r="J56" s="11">
        <v>4053.0</v>
      </c>
    </row>
    <row r="57">
      <c r="D57" s="41"/>
      <c r="E57" s="42" t="s">
        <v>101</v>
      </c>
      <c r="F57" s="42"/>
      <c r="G57" s="11" t="s">
        <v>60</v>
      </c>
      <c r="H57" s="11">
        <v>13391.5</v>
      </c>
      <c r="I57" s="11" t="s">
        <v>102</v>
      </c>
      <c r="J57" s="11">
        <v>1921.5</v>
      </c>
    </row>
    <row r="58">
      <c r="C58" s="44"/>
      <c r="D58" s="35" t="s">
        <v>103</v>
      </c>
      <c r="E58" s="38"/>
      <c r="F58" s="13"/>
      <c r="G58" s="11" t="s">
        <v>61</v>
      </c>
      <c r="H58" s="11">
        <v>1921.5</v>
      </c>
      <c r="I58" s="11" t="s">
        <v>104</v>
      </c>
      <c r="J58" s="13">
        <f>(J57/J56)*100</f>
        <v>47.40932642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63"/>
    <col customWidth="1" min="8" max="8" width="16.5"/>
    <col customWidth="1" min="12" max="12" width="16.63"/>
    <col customWidth="1" min="13" max="13" width="20.88"/>
  </cols>
  <sheetData>
    <row r="1">
      <c r="B1" s="1" t="s">
        <v>0</v>
      </c>
      <c r="C1" s="2" t="s">
        <v>1</v>
      </c>
      <c r="D1" s="3"/>
      <c r="E1" s="3"/>
      <c r="F1" s="3"/>
      <c r="H1" s="1" t="s">
        <v>25</v>
      </c>
      <c r="I1" s="18"/>
      <c r="J1" s="18"/>
    </row>
    <row r="2">
      <c r="C2" s="2" t="s">
        <v>2</v>
      </c>
      <c r="D2" s="3"/>
      <c r="E2" s="2"/>
      <c r="F2" s="3"/>
    </row>
    <row r="3">
      <c r="C3" s="2" t="s">
        <v>27</v>
      </c>
      <c r="D3" s="3"/>
      <c r="E3" s="3"/>
      <c r="F3" s="3"/>
    </row>
    <row r="4">
      <c r="C4" s="2" t="s">
        <v>4</v>
      </c>
      <c r="D4" s="3"/>
      <c r="E4" s="3"/>
      <c r="F4" s="3"/>
    </row>
    <row r="5">
      <c r="B5" s="6"/>
      <c r="C5" s="6" t="s">
        <v>28</v>
      </c>
      <c r="D5" s="6"/>
      <c r="E5" s="6"/>
      <c r="F5" s="6"/>
    </row>
    <row r="8">
      <c r="A8" s="22" t="s">
        <v>6</v>
      </c>
      <c r="B8" s="22" t="s">
        <v>29</v>
      </c>
      <c r="C8" s="22" t="s">
        <v>30</v>
      </c>
      <c r="D8" s="22" t="s">
        <v>9</v>
      </c>
      <c r="E8" s="22" t="s">
        <v>10</v>
      </c>
      <c r="F8" s="22" t="s">
        <v>11</v>
      </c>
      <c r="G8" s="22" t="s">
        <v>31</v>
      </c>
      <c r="H8" s="22" t="s">
        <v>32</v>
      </c>
      <c r="I8" s="22" t="s">
        <v>12</v>
      </c>
      <c r="J8" s="22" t="s">
        <v>13</v>
      </c>
      <c r="K8" s="22" t="s">
        <v>14</v>
      </c>
      <c r="L8" s="17" t="s">
        <v>33</v>
      </c>
      <c r="M8" s="22" t="s">
        <v>34</v>
      </c>
      <c r="N8" s="22" t="s">
        <v>16</v>
      </c>
    </row>
    <row r="9">
      <c r="A9" s="11">
        <v>1.0</v>
      </c>
      <c r="B9" s="12">
        <v>41680.0</v>
      </c>
      <c r="C9" s="12">
        <v>41724.0</v>
      </c>
      <c r="D9" s="11">
        <v>234.0</v>
      </c>
      <c r="E9" s="11">
        <v>223.0</v>
      </c>
      <c r="F9" s="13">
        <f t="shared" ref="F9:F146" si="1">((D9-E9)*2+D9)</f>
        <v>256</v>
      </c>
      <c r="G9" s="11">
        <v>256.0</v>
      </c>
      <c r="H9" s="11">
        <v>248.0</v>
      </c>
      <c r="I9" s="13">
        <f t="shared" ref="I9:I146" si="2">(D9-E9)</f>
        <v>11</v>
      </c>
      <c r="J9" s="11">
        <v>45.0</v>
      </c>
      <c r="K9" s="13">
        <f t="shared" ref="K9:K146" si="3">(G9-D9)*J9/2+(H9-D9)*J9/2</f>
        <v>810</v>
      </c>
      <c r="L9" s="11" t="s">
        <v>40</v>
      </c>
      <c r="M9" s="13">
        <f>(K9)</f>
        <v>810</v>
      </c>
      <c r="N9" s="13">
        <f t="shared" ref="N9:N146" si="4">(K9/J9)</f>
        <v>18</v>
      </c>
      <c r="Q9" s="13"/>
    </row>
    <row r="10">
      <c r="A10" s="11">
        <v>2.0</v>
      </c>
      <c r="B10" s="12">
        <v>41725.0</v>
      </c>
      <c r="C10" s="12">
        <v>41744.0</v>
      </c>
      <c r="D10" s="11">
        <v>255.0</v>
      </c>
      <c r="E10" s="11">
        <v>246.0</v>
      </c>
      <c r="F10" s="13">
        <f t="shared" si="1"/>
        <v>273</v>
      </c>
      <c r="G10" s="11">
        <v>273.0</v>
      </c>
      <c r="H10" s="11">
        <v>257.0</v>
      </c>
      <c r="I10" s="13">
        <f t="shared" si="2"/>
        <v>9</v>
      </c>
      <c r="J10" s="11">
        <v>55.0</v>
      </c>
      <c r="K10" s="13">
        <f t="shared" si="3"/>
        <v>550</v>
      </c>
      <c r="L10" s="11" t="s">
        <v>40</v>
      </c>
      <c r="M10" s="13">
        <f t="shared" ref="M10:M146" si="5">(M9+K10)</f>
        <v>1360</v>
      </c>
      <c r="N10" s="13">
        <f t="shared" si="4"/>
        <v>10</v>
      </c>
      <c r="Q10" s="13"/>
    </row>
    <row r="11">
      <c r="A11" s="11">
        <v>3.0</v>
      </c>
      <c r="B11" s="12">
        <v>41750.0</v>
      </c>
      <c r="C11" s="12">
        <v>41752.0</v>
      </c>
      <c r="D11" s="11">
        <v>263.0</v>
      </c>
      <c r="E11" s="11">
        <v>254.0</v>
      </c>
      <c r="F11" s="13">
        <f t="shared" si="1"/>
        <v>281</v>
      </c>
      <c r="G11" s="11">
        <v>254.0</v>
      </c>
      <c r="H11" s="11">
        <v>254.0</v>
      </c>
      <c r="I11" s="13">
        <f t="shared" si="2"/>
        <v>9</v>
      </c>
      <c r="J11" s="11">
        <v>55.0</v>
      </c>
      <c r="K11" s="13">
        <f t="shared" si="3"/>
        <v>-495</v>
      </c>
      <c r="L11" s="11" t="s">
        <v>42</v>
      </c>
      <c r="M11" s="13">
        <f t="shared" si="5"/>
        <v>865</v>
      </c>
      <c r="N11" s="13">
        <f t="shared" si="4"/>
        <v>-9</v>
      </c>
      <c r="Q11" s="13"/>
    </row>
    <row r="12">
      <c r="A12" s="11">
        <v>4.0</v>
      </c>
      <c r="B12" s="12">
        <v>41754.0</v>
      </c>
      <c r="C12" s="12">
        <v>41759.0</v>
      </c>
      <c r="D12" s="11">
        <v>260.0</v>
      </c>
      <c r="E12" s="11">
        <v>253.0</v>
      </c>
      <c r="F12" s="13">
        <f t="shared" si="1"/>
        <v>274</v>
      </c>
      <c r="G12" s="11">
        <v>254.0</v>
      </c>
      <c r="H12" s="11">
        <v>254.0</v>
      </c>
      <c r="I12" s="13">
        <f t="shared" si="2"/>
        <v>7</v>
      </c>
      <c r="J12" s="11">
        <v>71.0</v>
      </c>
      <c r="K12" s="13">
        <f t="shared" si="3"/>
        <v>-426</v>
      </c>
      <c r="L12" s="11" t="s">
        <v>42</v>
      </c>
      <c r="M12" s="13">
        <f t="shared" si="5"/>
        <v>439</v>
      </c>
      <c r="N12" s="13">
        <f t="shared" si="4"/>
        <v>-6</v>
      </c>
      <c r="Q12" s="13"/>
    </row>
    <row r="13">
      <c r="A13" s="11">
        <v>5.0</v>
      </c>
      <c r="B13" s="15">
        <v>41761.0</v>
      </c>
      <c r="C13" s="12">
        <v>41803.0</v>
      </c>
      <c r="D13" s="11">
        <v>260.0</v>
      </c>
      <c r="E13" s="11">
        <v>255.0</v>
      </c>
      <c r="F13" s="13">
        <f t="shared" si="1"/>
        <v>270</v>
      </c>
      <c r="G13" s="11">
        <v>270.0</v>
      </c>
      <c r="H13" s="11">
        <v>319.0</v>
      </c>
      <c r="I13" s="13">
        <f t="shared" si="2"/>
        <v>5</v>
      </c>
      <c r="J13" s="11">
        <v>100.0</v>
      </c>
      <c r="K13" s="13">
        <f t="shared" si="3"/>
        <v>3450</v>
      </c>
      <c r="L13" s="11" t="s">
        <v>40</v>
      </c>
      <c r="M13" s="13">
        <f t="shared" si="5"/>
        <v>3889</v>
      </c>
      <c r="N13" s="13">
        <f t="shared" si="4"/>
        <v>34.5</v>
      </c>
      <c r="Q13" s="13"/>
    </row>
    <row r="14">
      <c r="A14" s="11">
        <v>6.0</v>
      </c>
      <c r="B14" s="12">
        <v>45459.0</v>
      </c>
      <c r="C14" s="12">
        <v>45461.0</v>
      </c>
      <c r="D14" s="11">
        <v>326.0</v>
      </c>
      <c r="E14" s="11">
        <v>312.0</v>
      </c>
      <c r="F14" s="13">
        <f t="shared" si="1"/>
        <v>354</v>
      </c>
      <c r="G14" s="11">
        <v>312.0</v>
      </c>
      <c r="H14" s="11">
        <v>312.0</v>
      </c>
      <c r="I14" s="13">
        <f t="shared" si="2"/>
        <v>14</v>
      </c>
      <c r="J14" s="11">
        <v>35.0</v>
      </c>
      <c r="K14" s="13">
        <f t="shared" si="3"/>
        <v>-490</v>
      </c>
      <c r="L14" s="11" t="s">
        <v>42</v>
      </c>
      <c r="M14" s="13">
        <f t="shared" si="5"/>
        <v>3399</v>
      </c>
      <c r="N14" s="13">
        <f t="shared" si="4"/>
        <v>-14</v>
      </c>
      <c r="Q14" s="13"/>
    </row>
    <row r="15">
      <c r="A15" s="11">
        <v>7.0</v>
      </c>
      <c r="B15" s="12">
        <v>41809.0</v>
      </c>
      <c r="C15" s="12">
        <v>41828.0</v>
      </c>
      <c r="D15" s="11">
        <v>323.0</v>
      </c>
      <c r="E15" s="11">
        <v>313.0</v>
      </c>
      <c r="F15" s="13">
        <f t="shared" si="1"/>
        <v>343</v>
      </c>
      <c r="G15" s="11">
        <v>343.0</v>
      </c>
      <c r="H15" s="11">
        <v>341.0</v>
      </c>
      <c r="I15" s="13">
        <f t="shared" si="2"/>
        <v>10</v>
      </c>
      <c r="J15" s="11">
        <v>50.0</v>
      </c>
      <c r="K15" s="13">
        <f t="shared" si="3"/>
        <v>950</v>
      </c>
      <c r="L15" s="11" t="s">
        <v>40</v>
      </c>
      <c r="M15" s="13">
        <f t="shared" si="5"/>
        <v>4349</v>
      </c>
      <c r="N15" s="13">
        <f t="shared" si="4"/>
        <v>19</v>
      </c>
      <c r="Q15" s="13"/>
    </row>
    <row r="16">
      <c r="A16" s="11">
        <v>8.0</v>
      </c>
      <c r="B16" s="12">
        <v>41829.0</v>
      </c>
      <c r="C16" s="12">
        <v>41830.0</v>
      </c>
      <c r="D16" s="11">
        <v>350.0</v>
      </c>
      <c r="E16" s="11">
        <v>335.0</v>
      </c>
      <c r="F16" s="13">
        <f t="shared" si="1"/>
        <v>380</v>
      </c>
      <c r="G16" s="11">
        <v>335.0</v>
      </c>
      <c r="H16" s="11">
        <v>335.0</v>
      </c>
      <c r="I16" s="13">
        <f t="shared" si="2"/>
        <v>15</v>
      </c>
      <c r="J16" s="11">
        <v>33.0</v>
      </c>
      <c r="K16" s="13">
        <f t="shared" si="3"/>
        <v>-495</v>
      </c>
      <c r="L16" s="11" t="s">
        <v>42</v>
      </c>
      <c r="M16" s="13">
        <f t="shared" si="5"/>
        <v>3854</v>
      </c>
      <c r="N16" s="13">
        <f t="shared" si="4"/>
        <v>-15</v>
      </c>
      <c r="Q16" s="13"/>
    </row>
    <row r="17">
      <c r="A17" s="11">
        <v>9.0</v>
      </c>
      <c r="B17" s="12">
        <v>41842.0</v>
      </c>
      <c r="C17" s="12">
        <v>41844.0</v>
      </c>
      <c r="D17" s="11">
        <v>340.0</v>
      </c>
      <c r="E17" s="11">
        <v>330.0</v>
      </c>
      <c r="F17" s="13">
        <f t="shared" si="1"/>
        <v>360</v>
      </c>
      <c r="G17" s="11">
        <v>336.0</v>
      </c>
      <c r="H17" s="11">
        <v>336.0</v>
      </c>
      <c r="I17" s="13">
        <f t="shared" si="2"/>
        <v>10</v>
      </c>
      <c r="J17" s="11">
        <v>50.0</v>
      </c>
      <c r="K17" s="13">
        <f t="shared" si="3"/>
        <v>-200</v>
      </c>
      <c r="L17" s="11" t="s">
        <v>42</v>
      </c>
      <c r="M17" s="13">
        <f t="shared" si="5"/>
        <v>3654</v>
      </c>
      <c r="N17" s="13">
        <f t="shared" si="4"/>
        <v>-4</v>
      </c>
      <c r="Q17" s="13"/>
    </row>
    <row r="18">
      <c r="A18" s="11">
        <v>10.0</v>
      </c>
      <c r="B18" s="12">
        <v>41850.0</v>
      </c>
      <c r="C18" s="12">
        <v>41852.0</v>
      </c>
      <c r="D18" s="11">
        <v>344.0</v>
      </c>
      <c r="E18" s="11">
        <v>334.0</v>
      </c>
      <c r="F18" s="13">
        <f t="shared" si="1"/>
        <v>364</v>
      </c>
      <c r="G18" s="11">
        <v>334.0</v>
      </c>
      <c r="H18" s="11">
        <v>334.0</v>
      </c>
      <c r="I18" s="13">
        <f t="shared" si="2"/>
        <v>10</v>
      </c>
      <c r="J18" s="11">
        <v>50.0</v>
      </c>
      <c r="K18" s="13">
        <f t="shared" si="3"/>
        <v>-500</v>
      </c>
      <c r="L18" s="11" t="s">
        <v>42</v>
      </c>
      <c r="M18" s="13">
        <f t="shared" si="5"/>
        <v>3154</v>
      </c>
      <c r="N18" s="13">
        <f t="shared" si="4"/>
        <v>-10</v>
      </c>
      <c r="Q18" s="13"/>
    </row>
    <row r="19">
      <c r="A19" s="11">
        <v>11.0</v>
      </c>
      <c r="B19" s="12">
        <v>41855.0</v>
      </c>
      <c r="C19" s="11" t="s">
        <v>92</v>
      </c>
      <c r="D19" s="11">
        <v>344.0</v>
      </c>
      <c r="E19" s="11">
        <v>325.0</v>
      </c>
      <c r="F19" s="13">
        <f t="shared" si="1"/>
        <v>382</v>
      </c>
      <c r="G19" s="11">
        <v>382.0</v>
      </c>
      <c r="H19" s="11">
        <v>370.0</v>
      </c>
      <c r="I19" s="13">
        <f t="shared" si="2"/>
        <v>19</v>
      </c>
      <c r="J19" s="11">
        <v>26.0</v>
      </c>
      <c r="K19" s="13">
        <f t="shared" si="3"/>
        <v>832</v>
      </c>
      <c r="L19" s="11" t="s">
        <v>40</v>
      </c>
      <c r="M19" s="13">
        <f t="shared" si="5"/>
        <v>3986</v>
      </c>
      <c r="N19" s="13">
        <f t="shared" si="4"/>
        <v>32</v>
      </c>
      <c r="Q19" s="13"/>
    </row>
    <row r="20">
      <c r="A20" s="11">
        <v>12.0</v>
      </c>
      <c r="B20" s="11" t="s">
        <v>93</v>
      </c>
      <c r="C20" s="12">
        <v>41926.0</v>
      </c>
      <c r="D20" s="11">
        <v>389.0</v>
      </c>
      <c r="E20" s="11">
        <v>363.0</v>
      </c>
      <c r="F20" s="13">
        <f t="shared" si="1"/>
        <v>441</v>
      </c>
      <c r="G20" s="11">
        <v>388.0</v>
      </c>
      <c r="H20" s="11">
        <v>388.0</v>
      </c>
      <c r="I20" s="13">
        <f t="shared" si="2"/>
        <v>26</v>
      </c>
      <c r="J20" s="11">
        <v>19.0</v>
      </c>
      <c r="K20" s="13">
        <f t="shared" si="3"/>
        <v>-19</v>
      </c>
      <c r="L20" s="11" t="s">
        <v>42</v>
      </c>
      <c r="M20" s="13">
        <f t="shared" si="5"/>
        <v>3967</v>
      </c>
      <c r="N20" s="13">
        <f t="shared" si="4"/>
        <v>-1</v>
      </c>
      <c r="Q20" s="13"/>
    </row>
    <row r="21">
      <c r="A21" s="11">
        <v>13.0</v>
      </c>
      <c r="B21" s="12">
        <v>41933.0</v>
      </c>
      <c r="C21" s="12">
        <v>41943.0</v>
      </c>
      <c r="D21" s="11">
        <v>395.0</v>
      </c>
      <c r="E21" s="11">
        <v>384.0</v>
      </c>
      <c r="F21" s="13">
        <f t="shared" si="1"/>
        <v>417</v>
      </c>
      <c r="G21" s="11">
        <v>417.0</v>
      </c>
      <c r="H21" s="11">
        <v>393.0</v>
      </c>
      <c r="I21" s="13">
        <f t="shared" si="2"/>
        <v>11</v>
      </c>
      <c r="J21" s="11">
        <v>45.0</v>
      </c>
      <c r="K21" s="13">
        <f t="shared" si="3"/>
        <v>450</v>
      </c>
      <c r="L21" s="11" t="s">
        <v>40</v>
      </c>
      <c r="M21" s="13">
        <f t="shared" si="5"/>
        <v>4417</v>
      </c>
      <c r="N21" s="13">
        <f t="shared" si="4"/>
        <v>10</v>
      </c>
      <c r="Q21" s="13"/>
    </row>
    <row r="22">
      <c r="A22" s="11">
        <v>14.0</v>
      </c>
      <c r="B22" s="12">
        <v>41974.0</v>
      </c>
      <c r="C22" s="12">
        <v>41982.0</v>
      </c>
      <c r="D22" s="11">
        <v>400.0</v>
      </c>
      <c r="E22" s="11">
        <v>380.0</v>
      </c>
      <c r="F22" s="13">
        <f t="shared" si="1"/>
        <v>440</v>
      </c>
      <c r="G22" s="11">
        <v>380.0</v>
      </c>
      <c r="H22" s="11">
        <v>380.0</v>
      </c>
      <c r="I22" s="13">
        <f t="shared" si="2"/>
        <v>20</v>
      </c>
      <c r="J22" s="11">
        <v>25.0</v>
      </c>
      <c r="K22" s="13">
        <f t="shared" si="3"/>
        <v>-500</v>
      </c>
      <c r="L22" s="11" t="s">
        <v>42</v>
      </c>
      <c r="M22" s="13">
        <f t="shared" si="5"/>
        <v>3917</v>
      </c>
      <c r="N22" s="13">
        <f t="shared" si="4"/>
        <v>-20</v>
      </c>
      <c r="Q22" s="13"/>
    </row>
    <row r="23">
      <c r="A23" s="11">
        <v>15.0</v>
      </c>
      <c r="B23" s="12">
        <v>41983.0</v>
      </c>
      <c r="C23" s="12">
        <v>41985.0</v>
      </c>
      <c r="D23" s="11">
        <v>387.0</v>
      </c>
      <c r="E23" s="11">
        <v>368.0</v>
      </c>
      <c r="F23" s="13">
        <f t="shared" si="1"/>
        <v>425</v>
      </c>
      <c r="G23" s="11">
        <v>373.0</v>
      </c>
      <c r="H23" s="11">
        <v>373.0</v>
      </c>
      <c r="I23" s="13">
        <f t="shared" si="2"/>
        <v>19</v>
      </c>
      <c r="J23" s="11">
        <v>26.0</v>
      </c>
      <c r="K23" s="13">
        <f t="shared" si="3"/>
        <v>-364</v>
      </c>
      <c r="L23" s="11" t="s">
        <v>42</v>
      </c>
      <c r="M23" s="13">
        <f t="shared" si="5"/>
        <v>3553</v>
      </c>
      <c r="N23" s="13">
        <f t="shared" si="4"/>
        <v>-14</v>
      </c>
      <c r="Q23" s="13"/>
    </row>
    <row r="24">
      <c r="A24" s="11">
        <v>16.0</v>
      </c>
      <c r="B24" s="12">
        <v>41991.0</v>
      </c>
      <c r="C24" s="12">
        <v>41996.0</v>
      </c>
      <c r="D24" s="11">
        <v>382.0</v>
      </c>
      <c r="E24" s="11">
        <v>364.0</v>
      </c>
      <c r="F24" s="13">
        <f t="shared" si="1"/>
        <v>418</v>
      </c>
      <c r="G24" s="11">
        <v>374.0</v>
      </c>
      <c r="H24" s="11">
        <v>374.0</v>
      </c>
      <c r="I24" s="13">
        <f t="shared" si="2"/>
        <v>18</v>
      </c>
      <c r="J24" s="11">
        <v>27.0</v>
      </c>
      <c r="K24" s="13">
        <f t="shared" si="3"/>
        <v>-216</v>
      </c>
      <c r="L24" s="11" t="s">
        <v>42</v>
      </c>
      <c r="M24" s="13">
        <f t="shared" si="5"/>
        <v>3337</v>
      </c>
      <c r="N24" s="13">
        <f t="shared" si="4"/>
        <v>-8</v>
      </c>
      <c r="Q24" s="13"/>
    </row>
    <row r="25">
      <c r="A25" s="11">
        <v>17.0</v>
      </c>
      <c r="B25" s="12">
        <v>42003.0</v>
      </c>
      <c r="C25" s="12">
        <v>42010.0</v>
      </c>
      <c r="D25" s="11">
        <v>379.0</v>
      </c>
      <c r="E25" s="11">
        <v>372.0</v>
      </c>
      <c r="F25" s="13">
        <f t="shared" si="1"/>
        <v>393</v>
      </c>
      <c r="G25" s="11">
        <v>372.0</v>
      </c>
      <c r="H25" s="11">
        <v>372.0</v>
      </c>
      <c r="I25" s="13">
        <f t="shared" si="2"/>
        <v>7</v>
      </c>
      <c r="J25" s="11">
        <v>71.0</v>
      </c>
      <c r="K25" s="13">
        <f t="shared" si="3"/>
        <v>-497</v>
      </c>
      <c r="L25" s="11" t="s">
        <v>42</v>
      </c>
      <c r="M25" s="13">
        <f t="shared" si="5"/>
        <v>2840</v>
      </c>
      <c r="N25" s="13">
        <f t="shared" si="4"/>
        <v>-7</v>
      </c>
      <c r="Q25" s="13"/>
    </row>
    <row r="26">
      <c r="A26" s="11">
        <v>18.0</v>
      </c>
      <c r="B26" s="12">
        <v>42016.0</v>
      </c>
      <c r="C26" s="12">
        <v>42017.0</v>
      </c>
      <c r="D26" s="11">
        <v>378.0</v>
      </c>
      <c r="E26" s="11">
        <v>370.0</v>
      </c>
      <c r="F26" s="13">
        <f t="shared" si="1"/>
        <v>394</v>
      </c>
      <c r="G26" s="11">
        <v>372.0</v>
      </c>
      <c r="H26" s="11">
        <v>372.0</v>
      </c>
      <c r="I26" s="13">
        <f t="shared" si="2"/>
        <v>8</v>
      </c>
      <c r="J26" s="11">
        <v>62.0</v>
      </c>
      <c r="K26" s="13">
        <f t="shared" si="3"/>
        <v>-372</v>
      </c>
      <c r="L26" s="11" t="s">
        <v>42</v>
      </c>
      <c r="M26" s="13">
        <f t="shared" si="5"/>
        <v>2468</v>
      </c>
      <c r="N26" s="13">
        <f t="shared" si="4"/>
        <v>-6</v>
      </c>
      <c r="Q26" s="13"/>
    </row>
    <row r="27">
      <c r="A27" s="11">
        <v>19.0</v>
      </c>
      <c r="B27" s="12">
        <v>42019.0</v>
      </c>
      <c r="C27" s="12">
        <v>42058.0</v>
      </c>
      <c r="D27" s="11">
        <v>379.0</v>
      </c>
      <c r="E27" s="11">
        <v>369.0</v>
      </c>
      <c r="F27" s="13">
        <f t="shared" si="1"/>
        <v>399</v>
      </c>
      <c r="G27" s="11">
        <v>399.0</v>
      </c>
      <c r="H27" s="11">
        <v>419.0</v>
      </c>
      <c r="I27" s="13">
        <f t="shared" si="2"/>
        <v>10</v>
      </c>
      <c r="J27" s="11">
        <v>50.0</v>
      </c>
      <c r="K27" s="13">
        <f t="shared" si="3"/>
        <v>1500</v>
      </c>
      <c r="L27" s="11" t="s">
        <v>40</v>
      </c>
      <c r="M27" s="13">
        <f t="shared" si="5"/>
        <v>3968</v>
      </c>
      <c r="N27" s="13">
        <f t="shared" si="4"/>
        <v>30</v>
      </c>
      <c r="Q27" s="13"/>
    </row>
    <row r="28">
      <c r="A28" s="11">
        <v>20.0</v>
      </c>
      <c r="B28" s="12">
        <v>42059.0</v>
      </c>
      <c r="C28" s="12">
        <v>42061.0</v>
      </c>
      <c r="D28" s="11">
        <v>426.0</v>
      </c>
      <c r="E28" s="11">
        <v>418.0</v>
      </c>
      <c r="F28" s="13">
        <f t="shared" si="1"/>
        <v>442</v>
      </c>
      <c r="G28" s="11">
        <v>418.0</v>
      </c>
      <c r="H28" s="11">
        <v>418.0</v>
      </c>
      <c r="I28" s="13">
        <f t="shared" si="2"/>
        <v>8</v>
      </c>
      <c r="J28" s="11">
        <v>62.0</v>
      </c>
      <c r="K28" s="13">
        <f t="shared" si="3"/>
        <v>-496</v>
      </c>
      <c r="L28" s="11" t="s">
        <v>42</v>
      </c>
      <c r="M28" s="13">
        <f t="shared" si="5"/>
        <v>3472</v>
      </c>
      <c r="N28" s="13">
        <f t="shared" si="4"/>
        <v>-8</v>
      </c>
      <c r="Q28" s="13"/>
    </row>
    <row r="29">
      <c r="A29" s="11">
        <v>21.0</v>
      </c>
      <c r="B29" s="12">
        <v>42062.0</v>
      </c>
      <c r="C29" s="12">
        <v>42063.0</v>
      </c>
      <c r="D29" s="11">
        <v>437.0</v>
      </c>
      <c r="E29" s="11">
        <v>421.0</v>
      </c>
      <c r="F29" s="13">
        <f t="shared" si="1"/>
        <v>469</v>
      </c>
      <c r="G29" s="11">
        <v>421.0</v>
      </c>
      <c r="H29" s="11">
        <v>421.0</v>
      </c>
      <c r="I29" s="13">
        <f t="shared" si="2"/>
        <v>16</v>
      </c>
      <c r="J29" s="11">
        <v>31.0</v>
      </c>
      <c r="K29" s="13">
        <f t="shared" si="3"/>
        <v>-496</v>
      </c>
      <c r="L29" s="11" t="s">
        <v>42</v>
      </c>
      <c r="M29" s="13">
        <f t="shared" si="5"/>
        <v>2976</v>
      </c>
      <c r="N29" s="13">
        <f t="shared" si="4"/>
        <v>-16</v>
      </c>
      <c r="Q29" s="13"/>
    </row>
    <row r="30">
      <c r="A30" s="11">
        <v>22.0</v>
      </c>
      <c r="B30" s="12">
        <v>42100.0</v>
      </c>
      <c r="C30" s="12">
        <v>42103.0</v>
      </c>
      <c r="D30" s="11">
        <v>404.0</v>
      </c>
      <c r="E30" s="11">
        <v>391.0</v>
      </c>
      <c r="F30" s="13">
        <f t="shared" si="1"/>
        <v>430</v>
      </c>
      <c r="G30" s="11">
        <v>399.0</v>
      </c>
      <c r="H30" s="11">
        <v>399.0</v>
      </c>
      <c r="I30" s="13">
        <f t="shared" si="2"/>
        <v>13</v>
      </c>
      <c r="J30" s="11">
        <v>38.0</v>
      </c>
      <c r="K30" s="13">
        <f t="shared" si="3"/>
        <v>-190</v>
      </c>
      <c r="L30" s="11" t="s">
        <v>42</v>
      </c>
      <c r="M30" s="13">
        <f t="shared" si="5"/>
        <v>2786</v>
      </c>
      <c r="N30" s="13">
        <f t="shared" si="4"/>
        <v>-5</v>
      </c>
      <c r="Q30" s="13"/>
    </row>
    <row r="31">
      <c r="A31" s="11">
        <v>23.0</v>
      </c>
      <c r="B31" s="12">
        <v>42104.0</v>
      </c>
      <c r="C31" s="12">
        <v>42111.0</v>
      </c>
      <c r="D31" s="11">
        <v>406.0</v>
      </c>
      <c r="E31" s="11">
        <v>399.0</v>
      </c>
      <c r="F31" s="13">
        <f t="shared" si="1"/>
        <v>420</v>
      </c>
      <c r="G31" s="11">
        <v>420.0</v>
      </c>
      <c r="H31" s="11">
        <v>395.0</v>
      </c>
      <c r="I31" s="13">
        <f t="shared" si="2"/>
        <v>7</v>
      </c>
      <c r="J31" s="11">
        <v>71.0</v>
      </c>
      <c r="K31" s="13">
        <f t="shared" si="3"/>
        <v>106.5</v>
      </c>
      <c r="L31" s="11" t="s">
        <v>40</v>
      </c>
      <c r="M31" s="13">
        <f t="shared" si="5"/>
        <v>2892.5</v>
      </c>
      <c r="N31" s="13">
        <f t="shared" si="4"/>
        <v>1.5</v>
      </c>
      <c r="Q31" s="13"/>
    </row>
    <row r="32">
      <c r="A32" s="11">
        <v>24.0</v>
      </c>
      <c r="B32" s="12">
        <v>42117.0</v>
      </c>
      <c r="C32" s="12">
        <v>42118.0</v>
      </c>
      <c r="D32" s="11">
        <v>405.0</v>
      </c>
      <c r="E32" s="11">
        <v>392.0</v>
      </c>
      <c r="F32" s="13">
        <f t="shared" si="1"/>
        <v>431</v>
      </c>
      <c r="G32" s="11">
        <v>392.0</v>
      </c>
      <c r="H32" s="11">
        <v>392.0</v>
      </c>
      <c r="I32" s="13">
        <f t="shared" si="2"/>
        <v>13</v>
      </c>
      <c r="J32" s="11">
        <v>38.0</v>
      </c>
      <c r="K32" s="13">
        <f t="shared" si="3"/>
        <v>-494</v>
      </c>
      <c r="L32" s="11" t="s">
        <v>42</v>
      </c>
      <c r="M32" s="13">
        <f t="shared" si="5"/>
        <v>2398.5</v>
      </c>
      <c r="N32" s="13">
        <f t="shared" si="4"/>
        <v>-13</v>
      </c>
      <c r="Q32" s="13"/>
    </row>
    <row r="33">
      <c r="A33" s="11">
        <v>25.0</v>
      </c>
      <c r="B33" s="12">
        <v>42289.0</v>
      </c>
      <c r="C33" s="12">
        <v>42304.0</v>
      </c>
      <c r="D33" s="11">
        <v>349.0</v>
      </c>
      <c r="E33" s="11">
        <v>340.0</v>
      </c>
      <c r="F33" s="13">
        <f t="shared" si="1"/>
        <v>367</v>
      </c>
      <c r="G33" s="11">
        <v>340.0</v>
      </c>
      <c r="H33" s="11">
        <v>340.0</v>
      </c>
      <c r="I33" s="13">
        <f t="shared" si="2"/>
        <v>9</v>
      </c>
      <c r="J33" s="11">
        <v>55.0</v>
      </c>
      <c r="K33" s="13">
        <f t="shared" si="3"/>
        <v>-495</v>
      </c>
      <c r="L33" s="11" t="s">
        <v>42</v>
      </c>
      <c r="M33" s="13">
        <f t="shared" si="5"/>
        <v>1903.5</v>
      </c>
      <c r="N33" s="13">
        <f t="shared" si="4"/>
        <v>-9</v>
      </c>
      <c r="Q33" s="13"/>
    </row>
    <row r="34">
      <c r="A34" s="11">
        <v>26.0</v>
      </c>
      <c r="B34" s="12">
        <v>42305.0</v>
      </c>
      <c r="C34" s="12">
        <v>42310.0</v>
      </c>
      <c r="D34" s="11">
        <v>355.0</v>
      </c>
      <c r="E34" s="11">
        <v>340.0</v>
      </c>
      <c r="F34" s="13">
        <f t="shared" si="1"/>
        <v>385</v>
      </c>
      <c r="G34" s="11">
        <v>340.0</v>
      </c>
      <c r="H34" s="11">
        <v>340.0</v>
      </c>
      <c r="I34" s="13">
        <f t="shared" si="2"/>
        <v>15</v>
      </c>
      <c r="J34" s="11">
        <v>33.0</v>
      </c>
      <c r="K34" s="13">
        <f t="shared" si="3"/>
        <v>-495</v>
      </c>
      <c r="L34" s="11" t="s">
        <v>42</v>
      </c>
      <c r="M34" s="13">
        <f t="shared" si="5"/>
        <v>1408.5</v>
      </c>
      <c r="N34" s="13">
        <f t="shared" si="4"/>
        <v>-15</v>
      </c>
      <c r="Q34" s="13"/>
    </row>
    <row r="35">
      <c r="A35" s="11">
        <v>27.0</v>
      </c>
      <c r="B35" s="12">
        <v>42317.0</v>
      </c>
      <c r="C35" s="12">
        <v>42342.0</v>
      </c>
      <c r="D35" s="11">
        <v>361.0</v>
      </c>
      <c r="E35" s="11">
        <v>340.0</v>
      </c>
      <c r="F35" s="13">
        <f t="shared" si="1"/>
        <v>403</v>
      </c>
      <c r="G35" s="11">
        <v>366.0</v>
      </c>
      <c r="H35" s="11">
        <v>366.0</v>
      </c>
      <c r="I35" s="13">
        <f t="shared" si="2"/>
        <v>21</v>
      </c>
      <c r="J35" s="11">
        <v>23.0</v>
      </c>
      <c r="K35" s="13">
        <f t="shared" si="3"/>
        <v>115</v>
      </c>
      <c r="L35" s="11" t="s">
        <v>40</v>
      </c>
      <c r="M35" s="13">
        <f t="shared" si="5"/>
        <v>1523.5</v>
      </c>
      <c r="N35" s="13">
        <f t="shared" si="4"/>
        <v>5</v>
      </c>
      <c r="Q35" s="13"/>
    </row>
    <row r="36">
      <c r="A36" s="11">
        <v>28.0</v>
      </c>
      <c r="B36" s="12">
        <v>42394.0</v>
      </c>
      <c r="C36" s="12">
        <v>42396.0</v>
      </c>
      <c r="D36" s="11">
        <v>358.0</v>
      </c>
      <c r="E36" s="11">
        <v>346.0</v>
      </c>
      <c r="F36" s="13">
        <f t="shared" si="1"/>
        <v>382</v>
      </c>
      <c r="G36" s="11">
        <v>346.0</v>
      </c>
      <c r="H36" s="11">
        <v>346.0</v>
      </c>
      <c r="I36" s="13">
        <f t="shared" si="2"/>
        <v>12</v>
      </c>
      <c r="J36" s="11">
        <v>41.0</v>
      </c>
      <c r="K36" s="13">
        <f t="shared" si="3"/>
        <v>-492</v>
      </c>
      <c r="L36" s="11" t="s">
        <v>42</v>
      </c>
      <c r="M36" s="13">
        <f t="shared" si="5"/>
        <v>1031.5</v>
      </c>
      <c r="N36" s="13">
        <f t="shared" si="4"/>
        <v>-12</v>
      </c>
      <c r="Q36" s="13"/>
    </row>
    <row r="37">
      <c r="A37" s="11">
        <v>29.0</v>
      </c>
      <c r="B37" s="12">
        <v>42398.0</v>
      </c>
      <c r="C37" s="12">
        <v>42403.0</v>
      </c>
      <c r="D37" s="11">
        <v>367.0</v>
      </c>
      <c r="E37" s="11">
        <v>346.0</v>
      </c>
      <c r="F37" s="13">
        <f t="shared" si="1"/>
        <v>409</v>
      </c>
      <c r="G37" s="11">
        <v>346.0</v>
      </c>
      <c r="H37" s="11">
        <v>346.0</v>
      </c>
      <c r="I37" s="13">
        <f t="shared" si="2"/>
        <v>21</v>
      </c>
      <c r="J37" s="11">
        <v>23.0</v>
      </c>
      <c r="K37" s="13">
        <f t="shared" si="3"/>
        <v>-483</v>
      </c>
      <c r="L37" s="11" t="s">
        <v>42</v>
      </c>
      <c r="M37" s="13">
        <f t="shared" si="5"/>
        <v>548.5</v>
      </c>
      <c r="N37" s="13">
        <f t="shared" si="4"/>
        <v>-21</v>
      </c>
      <c r="Q37" s="13"/>
    </row>
    <row r="38">
      <c r="A38" s="11">
        <v>30.0</v>
      </c>
      <c r="B38" s="12">
        <v>42404.0</v>
      </c>
      <c r="C38" s="12">
        <v>42411.0</v>
      </c>
      <c r="D38" s="11">
        <v>373.0</v>
      </c>
      <c r="E38" s="11">
        <v>356.0</v>
      </c>
      <c r="F38" s="13">
        <f t="shared" si="1"/>
        <v>407</v>
      </c>
      <c r="G38" s="11">
        <v>356.0</v>
      </c>
      <c r="H38" s="11">
        <v>356.0</v>
      </c>
      <c r="I38" s="13">
        <f t="shared" si="2"/>
        <v>17</v>
      </c>
      <c r="J38" s="11">
        <v>29.0</v>
      </c>
      <c r="K38" s="13">
        <f t="shared" si="3"/>
        <v>-493</v>
      </c>
      <c r="L38" s="11" t="s">
        <v>42</v>
      </c>
      <c r="M38" s="13">
        <f t="shared" si="5"/>
        <v>55.5</v>
      </c>
      <c r="N38" s="13">
        <f t="shared" si="4"/>
        <v>-17</v>
      </c>
      <c r="Q38" s="13"/>
    </row>
    <row r="39">
      <c r="A39" s="11">
        <v>31.0</v>
      </c>
      <c r="B39" s="12">
        <v>42415.0</v>
      </c>
      <c r="C39" s="12">
        <v>42416.0</v>
      </c>
      <c r="D39" s="11">
        <v>365.0</v>
      </c>
      <c r="E39" s="11">
        <v>350.0</v>
      </c>
      <c r="F39" s="13">
        <f t="shared" si="1"/>
        <v>395</v>
      </c>
      <c r="G39" s="11">
        <v>350.0</v>
      </c>
      <c r="H39" s="11">
        <v>350.0</v>
      </c>
      <c r="I39" s="13">
        <f t="shared" si="2"/>
        <v>15</v>
      </c>
      <c r="J39" s="11">
        <v>33.0</v>
      </c>
      <c r="K39" s="13">
        <f t="shared" si="3"/>
        <v>-495</v>
      </c>
      <c r="L39" s="11" t="s">
        <v>42</v>
      </c>
      <c r="M39" s="13">
        <f t="shared" si="5"/>
        <v>-439.5</v>
      </c>
      <c r="N39" s="13">
        <f t="shared" si="4"/>
        <v>-15</v>
      </c>
      <c r="Q39" s="13"/>
    </row>
    <row r="40">
      <c r="A40" s="11">
        <v>32.0</v>
      </c>
      <c r="B40" s="12">
        <v>42471.0</v>
      </c>
      <c r="C40" s="12">
        <v>42489.0</v>
      </c>
      <c r="D40" s="11">
        <v>348.0</v>
      </c>
      <c r="E40" s="11">
        <v>336.0</v>
      </c>
      <c r="F40" s="13">
        <f t="shared" si="1"/>
        <v>372</v>
      </c>
      <c r="G40" s="11">
        <v>372.0</v>
      </c>
      <c r="H40" s="11">
        <v>355.0</v>
      </c>
      <c r="I40" s="13">
        <f t="shared" si="2"/>
        <v>12</v>
      </c>
      <c r="J40" s="11">
        <v>41.0</v>
      </c>
      <c r="K40" s="13">
        <f t="shared" si="3"/>
        <v>635.5</v>
      </c>
      <c r="L40" s="11" t="s">
        <v>40</v>
      </c>
      <c r="M40" s="13">
        <f t="shared" si="5"/>
        <v>196</v>
      </c>
      <c r="N40" s="13">
        <f t="shared" si="4"/>
        <v>15.5</v>
      </c>
      <c r="Q40" s="13"/>
    </row>
    <row r="41">
      <c r="A41" s="11">
        <v>33.0</v>
      </c>
      <c r="B41" s="15">
        <v>42492.0</v>
      </c>
      <c r="C41" s="15">
        <v>42495.0</v>
      </c>
      <c r="D41" s="11">
        <v>369.0</v>
      </c>
      <c r="E41" s="11">
        <v>355.0</v>
      </c>
      <c r="F41" s="13">
        <f t="shared" si="1"/>
        <v>397</v>
      </c>
      <c r="G41" s="11">
        <v>355.0</v>
      </c>
      <c r="H41" s="11">
        <v>355.0</v>
      </c>
      <c r="I41" s="13">
        <f t="shared" si="2"/>
        <v>14</v>
      </c>
      <c r="J41" s="11">
        <v>35.0</v>
      </c>
      <c r="K41" s="13">
        <f t="shared" si="3"/>
        <v>-490</v>
      </c>
      <c r="L41" s="11" t="s">
        <v>42</v>
      </c>
      <c r="M41" s="13">
        <f t="shared" si="5"/>
        <v>-294</v>
      </c>
      <c r="N41" s="13">
        <f t="shared" si="4"/>
        <v>-14</v>
      </c>
      <c r="Q41" s="13"/>
    </row>
    <row r="42">
      <c r="A42" s="11">
        <v>34.0</v>
      </c>
      <c r="B42" s="15">
        <v>42496.0</v>
      </c>
      <c r="C42" s="15">
        <v>42509.0</v>
      </c>
      <c r="D42" s="11">
        <v>368.0</v>
      </c>
      <c r="E42" s="11">
        <v>353.0</v>
      </c>
      <c r="F42" s="13">
        <f t="shared" si="1"/>
        <v>398</v>
      </c>
      <c r="G42" s="11">
        <v>363.0</v>
      </c>
      <c r="H42" s="11">
        <v>363.0</v>
      </c>
      <c r="I42" s="13">
        <f t="shared" si="2"/>
        <v>15</v>
      </c>
      <c r="J42" s="11">
        <v>33.0</v>
      </c>
      <c r="K42" s="13">
        <f t="shared" si="3"/>
        <v>-165</v>
      </c>
      <c r="L42" s="11" t="s">
        <v>42</v>
      </c>
      <c r="M42" s="13">
        <f t="shared" si="5"/>
        <v>-459</v>
      </c>
      <c r="N42" s="13">
        <f t="shared" si="4"/>
        <v>-5</v>
      </c>
      <c r="Q42" s="13"/>
    </row>
    <row r="43">
      <c r="A43" s="11">
        <v>35.0</v>
      </c>
      <c r="B43" s="15">
        <v>42515.0</v>
      </c>
      <c r="C43" s="15">
        <v>42516.0</v>
      </c>
      <c r="D43" s="11">
        <v>366.0</v>
      </c>
      <c r="E43" s="11">
        <v>358.0</v>
      </c>
      <c r="F43" s="13">
        <f t="shared" si="1"/>
        <v>382</v>
      </c>
      <c r="G43" s="11">
        <v>361.0</v>
      </c>
      <c r="H43" s="11">
        <v>361.0</v>
      </c>
      <c r="I43" s="13">
        <f t="shared" si="2"/>
        <v>8</v>
      </c>
      <c r="J43" s="11">
        <v>62.0</v>
      </c>
      <c r="K43" s="13">
        <f t="shared" si="3"/>
        <v>-310</v>
      </c>
      <c r="L43" s="11" t="s">
        <v>42</v>
      </c>
      <c r="M43" s="13">
        <f t="shared" si="5"/>
        <v>-769</v>
      </c>
      <c r="N43" s="13">
        <f t="shared" si="4"/>
        <v>-5</v>
      </c>
      <c r="Q43" s="13"/>
    </row>
    <row r="44">
      <c r="A44" s="11">
        <v>36.0</v>
      </c>
      <c r="B44" s="15">
        <v>42520.0</v>
      </c>
      <c r="C44" s="15">
        <v>42521.0</v>
      </c>
      <c r="D44" s="11">
        <v>366.0</v>
      </c>
      <c r="E44" s="11">
        <v>354.0</v>
      </c>
      <c r="F44" s="13">
        <f t="shared" si="1"/>
        <v>390</v>
      </c>
      <c r="G44" s="11">
        <v>360.0</v>
      </c>
      <c r="H44" s="11">
        <v>360.0</v>
      </c>
      <c r="I44" s="13">
        <f t="shared" si="2"/>
        <v>12</v>
      </c>
      <c r="J44" s="11">
        <v>41.0</v>
      </c>
      <c r="K44" s="13">
        <f t="shared" si="3"/>
        <v>-246</v>
      </c>
      <c r="L44" s="11" t="s">
        <v>42</v>
      </c>
      <c r="M44" s="13">
        <f t="shared" si="5"/>
        <v>-1015</v>
      </c>
      <c r="N44" s="13">
        <f t="shared" si="4"/>
        <v>-6</v>
      </c>
      <c r="Q44" s="13"/>
    </row>
    <row r="45">
      <c r="A45" s="11">
        <v>37.0</v>
      </c>
      <c r="B45" s="12">
        <v>42529.0</v>
      </c>
      <c r="C45" s="12">
        <v>42586.0</v>
      </c>
      <c r="D45" s="11">
        <v>365.0</v>
      </c>
      <c r="E45" s="11">
        <v>357.0</v>
      </c>
      <c r="F45" s="13">
        <f t="shared" si="1"/>
        <v>381</v>
      </c>
      <c r="G45" s="11">
        <v>381.0</v>
      </c>
      <c r="H45" s="11">
        <v>408.0</v>
      </c>
      <c r="I45" s="13">
        <f t="shared" si="2"/>
        <v>8</v>
      </c>
      <c r="J45" s="11">
        <v>62.0</v>
      </c>
      <c r="K45" s="13">
        <f t="shared" si="3"/>
        <v>1829</v>
      </c>
      <c r="L45" s="11" t="s">
        <v>40</v>
      </c>
      <c r="M45" s="13">
        <f t="shared" si="5"/>
        <v>814</v>
      </c>
      <c r="N45" s="13">
        <f t="shared" si="4"/>
        <v>29.5</v>
      </c>
      <c r="Q45" s="13"/>
    </row>
    <row r="46">
      <c r="A46" s="11">
        <v>38.0</v>
      </c>
      <c r="B46" s="12">
        <v>42587.0</v>
      </c>
      <c r="C46" s="12">
        <v>42592.0</v>
      </c>
      <c r="D46" s="11">
        <v>418.0</v>
      </c>
      <c r="E46" s="11">
        <v>404.0</v>
      </c>
      <c r="F46" s="13">
        <f t="shared" si="1"/>
        <v>446</v>
      </c>
      <c r="G46" s="11">
        <v>404.0</v>
      </c>
      <c r="H46" s="11">
        <v>404.0</v>
      </c>
      <c r="I46" s="13">
        <f t="shared" si="2"/>
        <v>14</v>
      </c>
      <c r="J46" s="11">
        <v>35.0</v>
      </c>
      <c r="K46" s="13">
        <f t="shared" si="3"/>
        <v>-490</v>
      </c>
      <c r="L46" s="11" t="s">
        <v>42</v>
      </c>
      <c r="M46" s="13">
        <f t="shared" si="5"/>
        <v>324</v>
      </c>
      <c r="N46" s="13">
        <f t="shared" si="4"/>
        <v>-14</v>
      </c>
      <c r="Q46" s="13"/>
    </row>
    <row r="47">
      <c r="A47" s="11">
        <v>39.0</v>
      </c>
      <c r="B47" s="12">
        <v>42612.0</v>
      </c>
      <c r="C47" s="11" t="s">
        <v>108</v>
      </c>
      <c r="D47" s="11">
        <v>410.0</v>
      </c>
      <c r="E47" s="11">
        <v>402.0</v>
      </c>
      <c r="F47" s="13">
        <f t="shared" si="1"/>
        <v>426</v>
      </c>
      <c r="G47" s="11">
        <v>426.0</v>
      </c>
      <c r="H47" s="11">
        <v>411.0</v>
      </c>
      <c r="I47" s="13">
        <f t="shared" si="2"/>
        <v>8</v>
      </c>
      <c r="J47" s="11">
        <v>62.0</v>
      </c>
      <c r="K47" s="13">
        <f t="shared" si="3"/>
        <v>527</v>
      </c>
      <c r="L47" s="11" t="s">
        <v>40</v>
      </c>
      <c r="M47" s="13">
        <f t="shared" si="5"/>
        <v>851</v>
      </c>
      <c r="N47" s="13">
        <f t="shared" si="4"/>
        <v>8.5</v>
      </c>
      <c r="Q47" s="13"/>
    </row>
    <row r="48">
      <c r="A48" s="11">
        <v>40.0</v>
      </c>
      <c r="B48" s="11" t="s">
        <v>51</v>
      </c>
      <c r="C48" s="11" t="s">
        <v>109</v>
      </c>
      <c r="D48" s="11">
        <v>417.0</v>
      </c>
      <c r="E48" s="11">
        <v>408.0</v>
      </c>
      <c r="F48" s="13">
        <f t="shared" si="1"/>
        <v>435</v>
      </c>
      <c r="G48" s="11">
        <v>408.0</v>
      </c>
      <c r="H48" s="11">
        <v>408.0</v>
      </c>
      <c r="I48" s="13">
        <f t="shared" si="2"/>
        <v>9</v>
      </c>
      <c r="J48" s="11">
        <v>55.0</v>
      </c>
      <c r="K48" s="13">
        <f t="shared" si="3"/>
        <v>-495</v>
      </c>
      <c r="L48" s="11" t="s">
        <v>42</v>
      </c>
      <c r="M48" s="13">
        <f t="shared" si="5"/>
        <v>356</v>
      </c>
      <c r="N48" s="13">
        <f t="shared" si="4"/>
        <v>-9</v>
      </c>
      <c r="Q48" s="13"/>
    </row>
    <row r="49">
      <c r="A49" s="11">
        <v>41.0</v>
      </c>
      <c r="B49" s="12">
        <v>42737.0</v>
      </c>
      <c r="C49" s="12">
        <v>42853.0</v>
      </c>
      <c r="D49" s="11">
        <v>336.0</v>
      </c>
      <c r="E49" s="11">
        <v>325.0</v>
      </c>
      <c r="F49" s="13">
        <f t="shared" si="1"/>
        <v>358</v>
      </c>
      <c r="G49" s="11">
        <v>358.0</v>
      </c>
      <c r="H49" s="11">
        <v>470.0</v>
      </c>
      <c r="I49" s="13">
        <f t="shared" si="2"/>
        <v>11</v>
      </c>
      <c r="J49" s="11">
        <v>45.0</v>
      </c>
      <c r="K49" s="13">
        <f t="shared" si="3"/>
        <v>3510</v>
      </c>
      <c r="L49" s="11" t="s">
        <v>40</v>
      </c>
      <c r="M49" s="13">
        <f t="shared" si="5"/>
        <v>3866</v>
      </c>
      <c r="N49" s="13">
        <f t="shared" si="4"/>
        <v>78</v>
      </c>
      <c r="Q49" s="13"/>
    </row>
    <row r="50">
      <c r="A50" s="11">
        <v>42.0</v>
      </c>
      <c r="B50" s="15">
        <v>42857.0</v>
      </c>
      <c r="C50" s="15">
        <v>42864.0</v>
      </c>
      <c r="D50" s="11">
        <v>487.0</v>
      </c>
      <c r="E50" s="11">
        <v>470.0</v>
      </c>
      <c r="F50" s="13">
        <f t="shared" si="1"/>
        <v>521</v>
      </c>
      <c r="G50" s="11">
        <v>470.0</v>
      </c>
      <c r="H50" s="11">
        <v>470.0</v>
      </c>
      <c r="I50" s="13">
        <f t="shared" si="2"/>
        <v>17</v>
      </c>
      <c r="J50" s="11">
        <v>29.0</v>
      </c>
      <c r="K50" s="13">
        <f t="shared" si="3"/>
        <v>-493</v>
      </c>
      <c r="L50" s="11" t="s">
        <v>42</v>
      </c>
      <c r="M50" s="13">
        <f t="shared" si="5"/>
        <v>3373</v>
      </c>
      <c r="N50" s="13">
        <f t="shared" si="4"/>
        <v>-17</v>
      </c>
      <c r="Q50" s="13"/>
    </row>
    <row r="51">
      <c r="A51" s="11">
        <v>43.0</v>
      </c>
      <c r="B51" s="15">
        <v>42865.0</v>
      </c>
      <c r="C51" s="15">
        <v>42872.0</v>
      </c>
      <c r="D51" s="11">
        <v>484.0</v>
      </c>
      <c r="E51" s="11">
        <v>465.0</v>
      </c>
      <c r="F51" s="13">
        <f t="shared" si="1"/>
        <v>522</v>
      </c>
      <c r="G51" s="11">
        <v>481.0</v>
      </c>
      <c r="H51" s="11">
        <v>481.0</v>
      </c>
      <c r="I51" s="13">
        <f t="shared" si="2"/>
        <v>19</v>
      </c>
      <c r="J51" s="11">
        <v>26.0</v>
      </c>
      <c r="K51" s="13">
        <f t="shared" si="3"/>
        <v>-78</v>
      </c>
      <c r="L51" s="11" t="s">
        <v>42</v>
      </c>
      <c r="M51" s="13">
        <f t="shared" si="5"/>
        <v>3295</v>
      </c>
      <c r="N51" s="13">
        <f t="shared" si="4"/>
        <v>-3</v>
      </c>
      <c r="Q51" s="13"/>
    </row>
    <row r="52">
      <c r="A52" s="11">
        <v>44.0</v>
      </c>
      <c r="B52" s="15">
        <v>42877.0</v>
      </c>
      <c r="C52" s="15">
        <v>42878.0</v>
      </c>
      <c r="D52" s="11">
        <v>484.0</v>
      </c>
      <c r="E52" s="11">
        <v>472.0</v>
      </c>
      <c r="F52" s="13">
        <f t="shared" si="1"/>
        <v>508</v>
      </c>
      <c r="G52" s="11">
        <v>478.0</v>
      </c>
      <c r="H52" s="11">
        <v>478.0</v>
      </c>
      <c r="I52" s="13">
        <f t="shared" si="2"/>
        <v>12</v>
      </c>
      <c r="J52" s="11">
        <v>41.0</v>
      </c>
      <c r="K52" s="13">
        <f t="shared" si="3"/>
        <v>-246</v>
      </c>
      <c r="L52" s="11" t="s">
        <v>42</v>
      </c>
      <c r="M52" s="13">
        <f t="shared" si="5"/>
        <v>3049</v>
      </c>
      <c r="N52" s="13">
        <f t="shared" si="4"/>
        <v>-6</v>
      </c>
      <c r="Q52" s="13"/>
    </row>
    <row r="53">
      <c r="A53" s="11">
        <v>45.0</v>
      </c>
      <c r="B53" s="12">
        <v>42891.0</v>
      </c>
      <c r="C53" s="12">
        <v>42914.0</v>
      </c>
      <c r="D53" s="11">
        <v>569.0</v>
      </c>
      <c r="E53" s="11">
        <v>505.0</v>
      </c>
      <c r="F53" s="13">
        <f t="shared" si="1"/>
        <v>697</v>
      </c>
      <c r="G53" s="11">
        <v>507.0</v>
      </c>
      <c r="H53" s="11">
        <v>507.0</v>
      </c>
      <c r="I53" s="13">
        <f t="shared" si="2"/>
        <v>64</v>
      </c>
      <c r="J53" s="11">
        <v>7.0</v>
      </c>
      <c r="K53" s="13">
        <f t="shared" si="3"/>
        <v>-434</v>
      </c>
      <c r="L53" s="11" t="s">
        <v>42</v>
      </c>
      <c r="M53" s="13">
        <f t="shared" si="5"/>
        <v>2615</v>
      </c>
      <c r="N53" s="13">
        <f t="shared" si="4"/>
        <v>-62</v>
      </c>
      <c r="Q53" s="13"/>
    </row>
    <row r="54">
      <c r="A54" s="11">
        <v>46.0</v>
      </c>
      <c r="B54" s="12">
        <v>42916.0</v>
      </c>
      <c r="C54" s="12">
        <v>42943.0</v>
      </c>
      <c r="D54" s="11">
        <v>526.0</v>
      </c>
      <c r="E54" s="11">
        <v>503.0</v>
      </c>
      <c r="F54" s="13">
        <f t="shared" si="1"/>
        <v>572</v>
      </c>
      <c r="G54" s="11">
        <v>527.0</v>
      </c>
      <c r="H54" s="11">
        <v>527.0</v>
      </c>
      <c r="I54" s="13">
        <f t="shared" si="2"/>
        <v>23</v>
      </c>
      <c r="J54" s="11">
        <v>21.0</v>
      </c>
      <c r="K54" s="13">
        <f t="shared" si="3"/>
        <v>21</v>
      </c>
      <c r="L54" s="11" t="s">
        <v>40</v>
      </c>
      <c r="M54" s="13">
        <f t="shared" si="5"/>
        <v>2636</v>
      </c>
      <c r="N54" s="13">
        <f t="shared" si="4"/>
        <v>1</v>
      </c>
      <c r="Q54" s="13"/>
    </row>
    <row r="55">
      <c r="A55" s="11">
        <v>47.0</v>
      </c>
      <c r="B55" s="12">
        <v>42944.0</v>
      </c>
      <c r="C55" s="11" t="s">
        <v>96</v>
      </c>
      <c r="D55" s="11">
        <v>535.0</v>
      </c>
      <c r="E55" s="11">
        <v>525.0</v>
      </c>
      <c r="F55" s="13">
        <f t="shared" si="1"/>
        <v>555</v>
      </c>
      <c r="G55" s="11">
        <v>555.0</v>
      </c>
      <c r="H55" s="11">
        <v>618.0</v>
      </c>
      <c r="I55" s="13">
        <f t="shared" si="2"/>
        <v>10</v>
      </c>
      <c r="J55" s="11">
        <v>50.0</v>
      </c>
      <c r="K55" s="13">
        <f t="shared" si="3"/>
        <v>2575</v>
      </c>
      <c r="L55" s="11" t="s">
        <v>40</v>
      </c>
      <c r="M55" s="13">
        <f t="shared" si="5"/>
        <v>5211</v>
      </c>
      <c r="N55" s="13">
        <f t="shared" si="4"/>
        <v>51.5</v>
      </c>
      <c r="Q55" s="13"/>
    </row>
    <row r="56">
      <c r="A56" s="11">
        <v>48.0</v>
      </c>
      <c r="B56" s="12">
        <v>43017.0</v>
      </c>
      <c r="C56" s="12">
        <v>43019.0</v>
      </c>
      <c r="D56" s="11">
        <v>630.0</v>
      </c>
      <c r="E56" s="11">
        <v>612.0</v>
      </c>
      <c r="F56" s="13">
        <f t="shared" si="1"/>
        <v>666</v>
      </c>
      <c r="G56" s="11">
        <v>612.0</v>
      </c>
      <c r="H56" s="11">
        <v>612.0</v>
      </c>
      <c r="I56" s="13">
        <f t="shared" si="2"/>
        <v>18</v>
      </c>
      <c r="J56" s="11">
        <v>27.0</v>
      </c>
      <c r="K56" s="13">
        <f t="shared" si="3"/>
        <v>-486</v>
      </c>
      <c r="L56" s="11" t="s">
        <v>42</v>
      </c>
      <c r="M56" s="13">
        <f t="shared" si="5"/>
        <v>4725</v>
      </c>
      <c r="N56" s="13">
        <f t="shared" si="4"/>
        <v>-18</v>
      </c>
      <c r="Q56" s="13"/>
    </row>
    <row r="57">
      <c r="A57" s="11">
        <v>49.0</v>
      </c>
      <c r="B57" s="12">
        <v>43020.0</v>
      </c>
      <c r="C57" s="12">
        <v>43026.0</v>
      </c>
      <c r="D57" s="11">
        <v>626.0</v>
      </c>
      <c r="E57" s="11">
        <v>607.0</v>
      </c>
      <c r="F57" s="13">
        <f t="shared" si="1"/>
        <v>664</v>
      </c>
      <c r="G57" s="11">
        <v>612.0</v>
      </c>
      <c r="H57" s="11">
        <v>612.0</v>
      </c>
      <c r="I57" s="13">
        <f t="shared" si="2"/>
        <v>19</v>
      </c>
      <c r="J57" s="11">
        <v>26.0</v>
      </c>
      <c r="K57" s="13">
        <f t="shared" si="3"/>
        <v>-364</v>
      </c>
      <c r="L57" s="11" t="s">
        <v>42</v>
      </c>
      <c r="M57" s="13">
        <f t="shared" si="5"/>
        <v>4361</v>
      </c>
      <c r="N57" s="13">
        <f t="shared" si="4"/>
        <v>-14</v>
      </c>
      <c r="Q57" s="13"/>
    </row>
    <row r="58">
      <c r="A58" s="11">
        <v>50.0</v>
      </c>
      <c r="B58" s="12">
        <v>43038.0</v>
      </c>
      <c r="C58" s="12">
        <v>43075.0</v>
      </c>
      <c r="D58" s="11">
        <v>622.0</v>
      </c>
      <c r="E58" s="11">
        <v>589.0</v>
      </c>
      <c r="F58" s="13">
        <f t="shared" si="1"/>
        <v>688</v>
      </c>
      <c r="G58" s="11">
        <v>688.0</v>
      </c>
      <c r="H58" s="11">
        <v>773.0</v>
      </c>
      <c r="I58" s="13">
        <f t="shared" si="2"/>
        <v>33</v>
      </c>
      <c r="J58" s="11">
        <v>15.0</v>
      </c>
      <c r="K58" s="13">
        <f t="shared" si="3"/>
        <v>1627.5</v>
      </c>
      <c r="L58" s="11" t="s">
        <v>40</v>
      </c>
      <c r="M58" s="13">
        <f t="shared" si="5"/>
        <v>5988.5</v>
      </c>
      <c r="N58" s="13">
        <f t="shared" si="4"/>
        <v>108.5</v>
      </c>
      <c r="Q58" s="13"/>
    </row>
    <row r="59">
      <c r="A59" s="11">
        <v>51.0</v>
      </c>
      <c r="B59" s="12">
        <v>43076.0</v>
      </c>
      <c r="C59" s="12">
        <v>43130.0</v>
      </c>
      <c r="D59" s="11">
        <v>807.0</v>
      </c>
      <c r="E59" s="11">
        <v>773.0</v>
      </c>
      <c r="F59" s="13">
        <f t="shared" si="1"/>
        <v>875</v>
      </c>
      <c r="G59" s="11">
        <v>875.0</v>
      </c>
      <c r="H59" s="11">
        <v>884.0</v>
      </c>
      <c r="I59" s="13">
        <f t="shared" si="2"/>
        <v>34</v>
      </c>
      <c r="J59" s="11">
        <v>14.0</v>
      </c>
      <c r="K59" s="13">
        <f t="shared" si="3"/>
        <v>1015</v>
      </c>
      <c r="L59" s="11" t="s">
        <v>40</v>
      </c>
      <c r="M59" s="13">
        <f t="shared" si="5"/>
        <v>7003.5</v>
      </c>
      <c r="N59" s="13">
        <f t="shared" si="4"/>
        <v>72.5</v>
      </c>
      <c r="Q59" s="13"/>
    </row>
    <row r="60">
      <c r="A60" s="11">
        <v>52.0</v>
      </c>
      <c r="B60" s="12">
        <v>43151.0</v>
      </c>
      <c r="C60" s="12">
        <v>43152.0</v>
      </c>
      <c r="D60" s="11">
        <v>838.0</v>
      </c>
      <c r="E60" s="11">
        <v>797.0</v>
      </c>
      <c r="F60" s="13">
        <f t="shared" si="1"/>
        <v>920</v>
      </c>
      <c r="G60" s="11">
        <v>822.0</v>
      </c>
      <c r="H60" s="11">
        <v>822.0</v>
      </c>
      <c r="I60" s="13">
        <f t="shared" si="2"/>
        <v>41</v>
      </c>
      <c r="J60" s="11">
        <v>12.0</v>
      </c>
      <c r="K60" s="13">
        <f t="shared" si="3"/>
        <v>-192</v>
      </c>
      <c r="L60" s="11" t="s">
        <v>42</v>
      </c>
      <c r="M60" s="13">
        <f t="shared" si="5"/>
        <v>6811.5</v>
      </c>
      <c r="N60" s="13">
        <f t="shared" si="4"/>
        <v>-16</v>
      </c>
      <c r="Q60" s="13"/>
    </row>
    <row r="61">
      <c r="A61" s="11">
        <v>53.0</v>
      </c>
      <c r="B61" s="12">
        <v>43171.0</v>
      </c>
      <c r="C61" s="15">
        <v>43231.0</v>
      </c>
      <c r="D61" s="11">
        <v>832.0</v>
      </c>
      <c r="E61" s="11">
        <v>822.0</v>
      </c>
      <c r="F61" s="13">
        <f t="shared" si="1"/>
        <v>852</v>
      </c>
      <c r="G61" s="11">
        <v>852.0</v>
      </c>
      <c r="H61" s="11">
        <v>956.0</v>
      </c>
      <c r="I61" s="13">
        <f t="shared" si="2"/>
        <v>10</v>
      </c>
      <c r="J61" s="11">
        <v>50.0</v>
      </c>
      <c r="K61" s="13">
        <f t="shared" si="3"/>
        <v>3600</v>
      </c>
      <c r="L61" s="11" t="s">
        <v>40</v>
      </c>
      <c r="M61" s="13">
        <f t="shared" si="5"/>
        <v>10411.5</v>
      </c>
      <c r="N61" s="13">
        <f t="shared" si="4"/>
        <v>72</v>
      </c>
      <c r="Q61" s="13"/>
    </row>
    <row r="62">
      <c r="A62" s="11">
        <v>54.0</v>
      </c>
      <c r="B62" s="12">
        <v>43264.0</v>
      </c>
      <c r="C62" s="12">
        <v>43265.0</v>
      </c>
      <c r="D62" s="11">
        <v>927.0</v>
      </c>
      <c r="E62" s="11">
        <v>905.0</v>
      </c>
      <c r="F62" s="13">
        <f t="shared" si="1"/>
        <v>971</v>
      </c>
      <c r="G62" s="11">
        <v>905.0</v>
      </c>
      <c r="H62" s="11">
        <v>905.0</v>
      </c>
      <c r="I62" s="13">
        <f t="shared" si="2"/>
        <v>22</v>
      </c>
      <c r="J62" s="11">
        <v>22.0</v>
      </c>
      <c r="K62" s="13">
        <f t="shared" si="3"/>
        <v>-484</v>
      </c>
      <c r="L62" s="11" t="s">
        <v>42</v>
      </c>
      <c r="M62" s="13">
        <f t="shared" si="5"/>
        <v>9927.5</v>
      </c>
      <c r="N62" s="13">
        <f t="shared" si="4"/>
        <v>-22</v>
      </c>
      <c r="Q62" s="13"/>
    </row>
    <row r="63">
      <c r="A63" s="11">
        <v>55.0</v>
      </c>
      <c r="B63" s="12">
        <v>43304.0</v>
      </c>
      <c r="C63" s="12">
        <v>43307.0</v>
      </c>
      <c r="D63" s="11">
        <v>866.0</v>
      </c>
      <c r="E63" s="11">
        <v>845.0</v>
      </c>
      <c r="F63" s="13">
        <f t="shared" si="1"/>
        <v>908</v>
      </c>
      <c r="G63" s="11">
        <v>854.0</v>
      </c>
      <c r="H63" s="11">
        <v>854.0</v>
      </c>
      <c r="I63" s="13">
        <f t="shared" si="2"/>
        <v>21</v>
      </c>
      <c r="J63" s="11">
        <v>23.0</v>
      </c>
      <c r="K63" s="13">
        <f t="shared" si="3"/>
        <v>-276</v>
      </c>
      <c r="L63" s="11" t="s">
        <v>42</v>
      </c>
      <c r="M63" s="13">
        <f t="shared" si="5"/>
        <v>9651.5</v>
      </c>
      <c r="N63" s="13">
        <f t="shared" si="4"/>
        <v>-12</v>
      </c>
      <c r="Q63" s="13"/>
    </row>
    <row r="64">
      <c r="A64" s="11">
        <v>56.0</v>
      </c>
      <c r="B64" s="12">
        <v>43308.0</v>
      </c>
      <c r="C64" s="12">
        <v>43336.0</v>
      </c>
      <c r="D64" s="11">
        <v>894.0</v>
      </c>
      <c r="E64" s="11">
        <v>852.0</v>
      </c>
      <c r="F64" s="13">
        <f t="shared" si="1"/>
        <v>978</v>
      </c>
      <c r="G64" s="11">
        <v>885.0</v>
      </c>
      <c r="H64" s="11">
        <v>885.0</v>
      </c>
      <c r="I64" s="13">
        <f t="shared" si="2"/>
        <v>42</v>
      </c>
      <c r="J64" s="11">
        <v>11.0</v>
      </c>
      <c r="K64" s="13">
        <f t="shared" si="3"/>
        <v>-99</v>
      </c>
      <c r="L64" s="11" t="s">
        <v>42</v>
      </c>
      <c r="M64" s="13">
        <f t="shared" si="5"/>
        <v>9552.5</v>
      </c>
      <c r="N64" s="13">
        <f t="shared" si="4"/>
        <v>-9</v>
      </c>
      <c r="Q64" s="13"/>
    </row>
    <row r="65">
      <c r="A65" s="11">
        <v>57.0</v>
      </c>
      <c r="B65" s="11" t="s">
        <v>80</v>
      </c>
      <c r="C65" s="11" t="s">
        <v>110</v>
      </c>
      <c r="D65" s="11">
        <v>921.0</v>
      </c>
      <c r="E65" s="11">
        <v>891.0</v>
      </c>
      <c r="F65" s="13">
        <f t="shared" si="1"/>
        <v>981</v>
      </c>
      <c r="G65" s="11">
        <v>891.0</v>
      </c>
      <c r="H65" s="11">
        <v>891.0</v>
      </c>
      <c r="I65" s="13">
        <f t="shared" si="2"/>
        <v>30</v>
      </c>
      <c r="J65" s="11">
        <v>16.0</v>
      </c>
      <c r="K65" s="13">
        <f t="shared" si="3"/>
        <v>-480</v>
      </c>
      <c r="L65" s="11" t="s">
        <v>42</v>
      </c>
      <c r="M65" s="13">
        <f t="shared" si="5"/>
        <v>9072.5</v>
      </c>
      <c r="N65" s="13">
        <f t="shared" si="4"/>
        <v>-30</v>
      </c>
      <c r="Q65" s="13"/>
    </row>
    <row r="66">
      <c r="A66" s="11">
        <v>58.0</v>
      </c>
      <c r="B66" s="12">
        <v>43402.0</v>
      </c>
      <c r="C66" s="12">
        <v>43455.0</v>
      </c>
      <c r="D66" s="11">
        <v>834.0</v>
      </c>
      <c r="E66" s="11">
        <v>807.0</v>
      </c>
      <c r="F66" s="13">
        <f t="shared" si="1"/>
        <v>888</v>
      </c>
      <c r="G66" s="11">
        <v>888.0</v>
      </c>
      <c r="H66" s="11">
        <v>900.0</v>
      </c>
      <c r="I66" s="13">
        <f t="shared" si="2"/>
        <v>27</v>
      </c>
      <c r="J66" s="11">
        <v>18.0</v>
      </c>
      <c r="K66" s="13">
        <f t="shared" si="3"/>
        <v>1080</v>
      </c>
      <c r="L66" s="11" t="s">
        <v>40</v>
      </c>
      <c r="M66" s="13">
        <f t="shared" si="5"/>
        <v>10152.5</v>
      </c>
      <c r="N66" s="13">
        <f t="shared" si="4"/>
        <v>60</v>
      </c>
      <c r="Q66" s="13"/>
    </row>
    <row r="67">
      <c r="A67" s="11">
        <v>59.0</v>
      </c>
      <c r="B67" s="12">
        <v>43462.0</v>
      </c>
      <c r="C67" s="12">
        <v>43523.0</v>
      </c>
      <c r="D67" s="11">
        <v>926.0</v>
      </c>
      <c r="E67" s="11">
        <v>898.0</v>
      </c>
      <c r="F67" s="13">
        <f t="shared" si="1"/>
        <v>982</v>
      </c>
      <c r="G67" s="11">
        <v>982.0</v>
      </c>
      <c r="H67" s="11">
        <v>1016.0</v>
      </c>
      <c r="I67" s="13">
        <f t="shared" si="2"/>
        <v>28</v>
      </c>
      <c r="J67" s="11">
        <v>17.0</v>
      </c>
      <c r="K67" s="13">
        <f t="shared" si="3"/>
        <v>1241</v>
      </c>
      <c r="L67" s="11" t="s">
        <v>40</v>
      </c>
      <c r="M67" s="13">
        <f t="shared" si="5"/>
        <v>11393.5</v>
      </c>
      <c r="N67" s="13">
        <f t="shared" si="4"/>
        <v>73</v>
      </c>
      <c r="Q67" s="13"/>
    </row>
    <row r="68">
      <c r="A68" s="11">
        <v>60.0</v>
      </c>
      <c r="B68" s="12">
        <v>43529.0</v>
      </c>
      <c r="C68" s="12">
        <v>43567.0</v>
      </c>
      <c r="D68" s="11">
        <v>1040.0</v>
      </c>
      <c r="E68" s="11">
        <v>1016.0</v>
      </c>
      <c r="F68" s="13">
        <f t="shared" si="1"/>
        <v>1088</v>
      </c>
      <c r="G68" s="11">
        <v>1088.0</v>
      </c>
      <c r="H68" s="11">
        <v>1097.0</v>
      </c>
      <c r="I68" s="13">
        <f t="shared" si="2"/>
        <v>24</v>
      </c>
      <c r="J68" s="11">
        <v>20.0</v>
      </c>
      <c r="K68" s="13">
        <f t="shared" si="3"/>
        <v>1050</v>
      </c>
      <c r="L68" s="11" t="s">
        <v>40</v>
      </c>
      <c r="M68" s="13">
        <f t="shared" si="5"/>
        <v>12443.5</v>
      </c>
      <c r="N68" s="13">
        <f t="shared" si="4"/>
        <v>52.5</v>
      </c>
      <c r="Q68" s="13"/>
    </row>
    <row r="69">
      <c r="A69" s="11">
        <v>61.0</v>
      </c>
      <c r="B69" s="12">
        <v>43571.0</v>
      </c>
      <c r="C69" s="15">
        <v>43591.0</v>
      </c>
      <c r="D69" s="11">
        <v>1125.0</v>
      </c>
      <c r="E69" s="11">
        <v>1092.0</v>
      </c>
      <c r="F69" s="13">
        <f t="shared" si="1"/>
        <v>1191</v>
      </c>
      <c r="G69" s="11">
        <v>1092.0</v>
      </c>
      <c r="H69" s="11">
        <v>1092.0</v>
      </c>
      <c r="I69" s="13">
        <f t="shared" si="2"/>
        <v>33</v>
      </c>
      <c r="J69" s="11">
        <v>15.0</v>
      </c>
      <c r="K69" s="13">
        <f t="shared" si="3"/>
        <v>-495</v>
      </c>
      <c r="L69" s="11" t="s">
        <v>42</v>
      </c>
      <c r="M69" s="13">
        <f t="shared" si="5"/>
        <v>11948.5</v>
      </c>
      <c r="N69" s="13">
        <f t="shared" si="4"/>
        <v>-33</v>
      </c>
      <c r="Q69" s="13"/>
    </row>
    <row r="70">
      <c r="A70" s="11">
        <v>62.0</v>
      </c>
      <c r="B70" s="15">
        <v>43595.0</v>
      </c>
      <c r="C70" s="15">
        <v>43650.0</v>
      </c>
      <c r="D70" s="11">
        <v>1138.0</v>
      </c>
      <c r="E70" s="11">
        <v>1094.0</v>
      </c>
      <c r="F70" s="13">
        <f t="shared" si="1"/>
        <v>1226</v>
      </c>
      <c r="G70" s="11">
        <v>1226.0</v>
      </c>
      <c r="H70" s="11">
        <v>1290.0</v>
      </c>
      <c r="I70" s="13">
        <f t="shared" si="2"/>
        <v>44</v>
      </c>
      <c r="J70" s="11">
        <v>11.0</v>
      </c>
      <c r="K70" s="13">
        <f t="shared" si="3"/>
        <v>1320</v>
      </c>
      <c r="L70" s="11" t="s">
        <v>40</v>
      </c>
      <c r="M70" s="13">
        <f t="shared" si="5"/>
        <v>13268.5</v>
      </c>
      <c r="N70" s="13">
        <f t="shared" si="4"/>
        <v>120</v>
      </c>
      <c r="Q70" s="13"/>
    </row>
    <row r="71">
      <c r="A71" s="11">
        <v>63.0</v>
      </c>
      <c r="B71" s="11" t="s">
        <v>111</v>
      </c>
      <c r="C71" s="12">
        <v>43774.0</v>
      </c>
      <c r="D71" s="11">
        <v>1092.0</v>
      </c>
      <c r="E71" s="11">
        <v>1058.0</v>
      </c>
      <c r="F71" s="13">
        <f t="shared" si="1"/>
        <v>1160</v>
      </c>
      <c r="G71" s="11">
        <v>1160.0</v>
      </c>
      <c r="H71" s="11">
        <v>1298.0</v>
      </c>
      <c r="I71" s="13">
        <f t="shared" si="2"/>
        <v>34</v>
      </c>
      <c r="J71" s="11">
        <v>14.0</v>
      </c>
      <c r="K71" s="13">
        <f t="shared" si="3"/>
        <v>1918</v>
      </c>
      <c r="L71" s="11" t="s">
        <v>40</v>
      </c>
      <c r="M71" s="13">
        <f t="shared" si="5"/>
        <v>15186.5</v>
      </c>
      <c r="N71" s="13">
        <f t="shared" si="4"/>
        <v>137</v>
      </c>
      <c r="Q71" s="13"/>
    </row>
    <row r="72">
      <c r="A72" s="11">
        <v>64.0</v>
      </c>
      <c r="B72" s="12">
        <v>43809.0</v>
      </c>
      <c r="C72" s="12">
        <v>43815.0</v>
      </c>
      <c r="D72" s="11">
        <v>1192.0</v>
      </c>
      <c r="E72" s="11">
        <v>1172.0</v>
      </c>
      <c r="F72" s="13">
        <f t="shared" si="1"/>
        <v>1232</v>
      </c>
      <c r="G72" s="11">
        <v>1172.0</v>
      </c>
      <c r="H72" s="11">
        <v>1172.0</v>
      </c>
      <c r="I72" s="13">
        <f t="shared" si="2"/>
        <v>20</v>
      </c>
      <c r="J72" s="11">
        <v>25.0</v>
      </c>
      <c r="K72" s="13">
        <f t="shared" si="3"/>
        <v>-500</v>
      </c>
      <c r="L72" s="11" t="s">
        <v>42</v>
      </c>
      <c r="M72" s="13">
        <f t="shared" si="5"/>
        <v>14686.5</v>
      </c>
      <c r="N72" s="13">
        <f t="shared" si="4"/>
        <v>-20</v>
      </c>
      <c r="Q72" s="13"/>
    </row>
    <row r="73">
      <c r="A73" s="11">
        <v>65.0</v>
      </c>
      <c r="B73" s="12">
        <v>43819.0</v>
      </c>
      <c r="C73" s="12">
        <v>43831.0</v>
      </c>
      <c r="D73" s="11">
        <v>1206.0</v>
      </c>
      <c r="E73" s="11">
        <v>1160.0</v>
      </c>
      <c r="F73" s="13">
        <f t="shared" si="1"/>
        <v>1298</v>
      </c>
      <c r="G73" s="11">
        <v>1160.0</v>
      </c>
      <c r="H73" s="11">
        <v>1160.0</v>
      </c>
      <c r="I73" s="13">
        <f t="shared" si="2"/>
        <v>46</v>
      </c>
      <c r="J73" s="11">
        <v>10.0</v>
      </c>
      <c r="K73" s="13">
        <f t="shared" si="3"/>
        <v>-460</v>
      </c>
      <c r="L73" s="11" t="s">
        <v>42</v>
      </c>
      <c r="M73" s="13">
        <f t="shared" si="5"/>
        <v>14226.5</v>
      </c>
      <c r="N73" s="13">
        <f t="shared" si="4"/>
        <v>-46</v>
      </c>
      <c r="Q73" s="13"/>
    </row>
    <row r="74">
      <c r="A74" s="11">
        <v>66.0</v>
      </c>
      <c r="B74" s="12">
        <v>43844.0</v>
      </c>
      <c r="C74" s="12">
        <v>43860.0</v>
      </c>
      <c r="D74" s="11">
        <v>1169.0</v>
      </c>
      <c r="E74" s="11">
        <v>1157.0</v>
      </c>
      <c r="F74" s="13">
        <f t="shared" si="1"/>
        <v>1193</v>
      </c>
      <c r="G74" s="11">
        <v>1193.0</v>
      </c>
      <c r="H74" s="11">
        <v>1179.0</v>
      </c>
      <c r="I74" s="13">
        <f t="shared" si="2"/>
        <v>12</v>
      </c>
      <c r="J74" s="11">
        <v>41.0</v>
      </c>
      <c r="K74" s="13">
        <f t="shared" si="3"/>
        <v>697</v>
      </c>
      <c r="L74" s="11" t="s">
        <v>40</v>
      </c>
      <c r="M74" s="13">
        <f t="shared" si="5"/>
        <v>14923.5</v>
      </c>
      <c r="N74" s="13">
        <f t="shared" si="4"/>
        <v>17</v>
      </c>
      <c r="Q74" s="13"/>
    </row>
    <row r="75">
      <c r="A75" s="11">
        <v>67.0</v>
      </c>
      <c r="B75" s="12">
        <v>43864.0</v>
      </c>
      <c r="C75" s="12">
        <v>43886.0</v>
      </c>
      <c r="D75" s="11">
        <v>1192.0</v>
      </c>
      <c r="E75" s="11">
        <v>1162.0</v>
      </c>
      <c r="F75" s="13">
        <f t="shared" si="1"/>
        <v>1252</v>
      </c>
      <c r="G75" s="11">
        <v>1252.0</v>
      </c>
      <c r="H75" s="11">
        <v>1260.0</v>
      </c>
      <c r="I75" s="13">
        <f t="shared" si="2"/>
        <v>30</v>
      </c>
      <c r="J75" s="11">
        <v>16.0</v>
      </c>
      <c r="K75" s="13">
        <f t="shared" si="3"/>
        <v>1024</v>
      </c>
      <c r="L75" s="11" t="s">
        <v>40</v>
      </c>
      <c r="M75" s="13">
        <f t="shared" si="5"/>
        <v>15947.5</v>
      </c>
      <c r="N75" s="13">
        <f t="shared" si="4"/>
        <v>64</v>
      </c>
      <c r="Q75" s="13"/>
    </row>
    <row r="76">
      <c r="A76" s="11">
        <v>68.0</v>
      </c>
      <c r="B76" s="12">
        <v>43888.0</v>
      </c>
      <c r="C76" s="12">
        <v>43892.0</v>
      </c>
      <c r="D76" s="11">
        <v>1286.0</v>
      </c>
      <c r="E76" s="11">
        <v>1250.0</v>
      </c>
      <c r="F76" s="13">
        <f t="shared" si="1"/>
        <v>1358</v>
      </c>
      <c r="G76" s="11">
        <v>1250.0</v>
      </c>
      <c r="H76" s="11">
        <v>1250.0</v>
      </c>
      <c r="I76" s="13">
        <f t="shared" si="2"/>
        <v>36</v>
      </c>
      <c r="J76" s="11">
        <v>13.0</v>
      </c>
      <c r="K76" s="13">
        <f t="shared" si="3"/>
        <v>-468</v>
      </c>
      <c r="L76" s="11" t="s">
        <v>42</v>
      </c>
      <c r="M76" s="13">
        <f t="shared" si="5"/>
        <v>15479.5</v>
      </c>
      <c r="N76" s="13">
        <f t="shared" si="4"/>
        <v>-36</v>
      </c>
      <c r="Q76" s="13"/>
    </row>
    <row r="77">
      <c r="A77" s="11">
        <v>69.0</v>
      </c>
      <c r="B77" s="12">
        <v>44014.0</v>
      </c>
      <c r="C77" s="12">
        <v>44022.0</v>
      </c>
      <c r="D77" s="11">
        <v>994.0</v>
      </c>
      <c r="E77" s="11">
        <v>953.0</v>
      </c>
      <c r="F77" s="13">
        <f t="shared" si="1"/>
        <v>1076</v>
      </c>
      <c r="G77" s="11">
        <v>961.0</v>
      </c>
      <c r="H77" s="11">
        <v>961.0</v>
      </c>
      <c r="I77" s="13">
        <f t="shared" si="2"/>
        <v>41</v>
      </c>
      <c r="J77" s="11">
        <v>12.0</v>
      </c>
      <c r="K77" s="13">
        <f t="shared" si="3"/>
        <v>-396</v>
      </c>
      <c r="L77" s="11" t="s">
        <v>42</v>
      </c>
      <c r="M77" s="13">
        <f t="shared" si="5"/>
        <v>15083.5</v>
      </c>
      <c r="N77" s="13">
        <f t="shared" si="4"/>
        <v>-33</v>
      </c>
      <c r="Q77" s="13"/>
    </row>
    <row r="78">
      <c r="A78" s="11">
        <v>70.0</v>
      </c>
      <c r="B78" s="12">
        <v>44029.0</v>
      </c>
      <c r="C78" s="12">
        <v>44074.0</v>
      </c>
      <c r="D78" s="11">
        <v>1000.0</v>
      </c>
      <c r="E78" s="11">
        <v>956.0</v>
      </c>
      <c r="F78" s="13">
        <f t="shared" si="1"/>
        <v>1088</v>
      </c>
      <c r="G78" s="11">
        <v>1088.0</v>
      </c>
      <c r="H78" s="11">
        <v>1100.0</v>
      </c>
      <c r="I78" s="13">
        <f t="shared" si="2"/>
        <v>44</v>
      </c>
      <c r="J78" s="11">
        <v>11.0</v>
      </c>
      <c r="K78" s="13">
        <f t="shared" si="3"/>
        <v>1034</v>
      </c>
      <c r="L78" s="11" t="s">
        <v>40</v>
      </c>
      <c r="M78" s="13">
        <f t="shared" si="5"/>
        <v>16117.5</v>
      </c>
      <c r="N78" s="13">
        <f t="shared" si="4"/>
        <v>94</v>
      </c>
      <c r="Q78" s="13"/>
    </row>
    <row r="79">
      <c r="A79" s="11">
        <v>71.0</v>
      </c>
      <c r="B79" s="11" t="s">
        <v>112</v>
      </c>
      <c r="C79" s="11" t="s">
        <v>47</v>
      </c>
      <c r="D79" s="11">
        <v>1130.0</v>
      </c>
      <c r="E79" s="11">
        <v>1095.0</v>
      </c>
      <c r="F79" s="13">
        <f t="shared" si="1"/>
        <v>1200</v>
      </c>
      <c r="G79" s="11">
        <v>1200.0</v>
      </c>
      <c r="H79" s="11">
        <v>1119.0</v>
      </c>
      <c r="I79" s="13">
        <f t="shared" si="2"/>
        <v>35</v>
      </c>
      <c r="J79" s="11">
        <v>14.0</v>
      </c>
      <c r="K79" s="13">
        <f t="shared" si="3"/>
        <v>413</v>
      </c>
      <c r="L79" s="11" t="s">
        <v>40</v>
      </c>
      <c r="M79" s="13">
        <f t="shared" si="5"/>
        <v>16530.5</v>
      </c>
      <c r="N79" s="13">
        <f t="shared" si="4"/>
        <v>29.5</v>
      </c>
      <c r="Q79" s="13"/>
    </row>
    <row r="80">
      <c r="A80" s="11">
        <v>72.0</v>
      </c>
      <c r="B80" s="11" t="s">
        <v>50</v>
      </c>
      <c r="C80" s="12">
        <v>44133.0</v>
      </c>
      <c r="D80" s="11">
        <v>1144.0</v>
      </c>
      <c r="E80" s="11">
        <v>1108.0</v>
      </c>
      <c r="F80" s="13">
        <f t="shared" si="1"/>
        <v>1216</v>
      </c>
      <c r="G80" s="11">
        <v>1216.0</v>
      </c>
      <c r="H80" s="11">
        <v>1178.0</v>
      </c>
      <c r="I80" s="13">
        <f t="shared" si="2"/>
        <v>36</v>
      </c>
      <c r="J80" s="11">
        <v>13.0</v>
      </c>
      <c r="K80" s="13">
        <f t="shared" si="3"/>
        <v>689</v>
      </c>
      <c r="L80" s="11" t="s">
        <v>40</v>
      </c>
      <c r="M80" s="13">
        <f t="shared" si="5"/>
        <v>17219.5</v>
      </c>
      <c r="N80" s="13">
        <f t="shared" si="4"/>
        <v>53</v>
      </c>
      <c r="Q80" s="13"/>
    </row>
    <row r="81">
      <c r="A81" s="11">
        <v>73.0</v>
      </c>
      <c r="B81" s="12">
        <v>44139.0</v>
      </c>
      <c r="C81" s="12">
        <v>44209.0</v>
      </c>
      <c r="D81" s="11">
        <v>1218.0</v>
      </c>
      <c r="E81" s="11">
        <v>1192.0</v>
      </c>
      <c r="F81" s="13">
        <f t="shared" si="1"/>
        <v>1270</v>
      </c>
      <c r="G81" s="11">
        <v>1270.0</v>
      </c>
      <c r="H81" s="11">
        <v>1505.0</v>
      </c>
      <c r="I81" s="13">
        <f t="shared" si="2"/>
        <v>26</v>
      </c>
      <c r="J81" s="11">
        <v>19.0</v>
      </c>
      <c r="K81" s="13">
        <f t="shared" si="3"/>
        <v>3220.5</v>
      </c>
      <c r="L81" s="11" t="s">
        <v>40</v>
      </c>
      <c r="M81" s="13">
        <f t="shared" si="5"/>
        <v>20440</v>
      </c>
      <c r="N81" s="13">
        <f t="shared" si="4"/>
        <v>169.5</v>
      </c>
      <c r="Q81" s="13"/>
    </row>
    <row r="82">
      <c r="A82" s="11">
        <v>74.0</v>
      </c>
      <c r="B82" s="12">
        <v>44215.0</v>
      </c>
      <c r="C82" s="12">
        <v>44218.0</v>
      </c>
      <c r="D82" s="11">
        <v>1524.0</v>
      </c>
      <c r="E82" s="11">
        <v>1501.0</v>
      </c>
      <c r="F82" s="13">
        <f t="shared" si="1"/>
        <v>1570</v>
      </c>
      <c r="G82" s="11">
        <v>1501.0</v>
      </c>
      <c r="H82" s="11">
        <v>1501.0</v>
      </c>
      <c r="I82" s="13">
        <f t="shared" si="2"/>
        <v>23</v>
      </c>
      <c r="J82" s="11">
        <v>21.0</v>
      </c>
      <c r="K82" s="13">
        <f t="shared" si="3"/>
        <v>-483</v>
      </c>
      <c r="L82" s="11" t="s">
        <v>42</v>
      </c>
      <c r="M82" s="13">
        <f t="shared" si="5"/>
        <v>19957</v>
      </c>
      <c r="N82" s="13">
        <f t="shared" si="4"/>
        <v>-23</v>
      </c>
      <c r="Q82" s="13"/>
    </row>
    <row r="83">
      <c r="A83" s="11">
        <v>75.0</v>
      </c>
      <c r="B83" s="12">
        <v>44228.0</v>
      </c>
      <c r="C83" s="12">
        <v>44229.0</v>
      </c>
      <c r="D83" s="11">
        <v>1509.0</v>
      </c>
      <c r="E83" s="11">
        <v>1423.0</v>
      </c>
      <c r="F83" s="13">
        <f t="shared" si="1"/>
        <v>1681</v>
      </c>
      <c r="G83" s="11">
        <v>1485.0</v>
      </c>
      <c r="H83" s="11">
        <v>1485.0</v>
      </c>
      <c r="I83" s="13">
        <f t="shared" si="2"/>
        <v>86</v>
      </c>
      <c r="J83" s="11">
        <v>5.0</v>
      </c>
      <c r="K83" s="13">
        <f t="shared" si="3"/>
        <v>-120</v>
      </c>
      <c r="L83" s="11" t="s">
        <v>42</v>
      </c>
      <c r="M83" s="13">
        <f t="shared" si="5"/>
        <v>19837</v>
      </c>
      <c r="N83" s="13">
        <f t="shared" si="4"/>
        <v>-24</v>
      </c>
      <c r="Q83" s="13"/>
    </row>
    <row r="84">
      <c r="A84" s="11">
        <v>76.0</v>
      </c>
      <c r="B84" s="12">
        <v>44230.0</v>
      </c>
      <c r="C84" s="12">
        <v>44239.0</v>
      </c>
      <c r="D84" s="11">
        <v>1529.0</v>
      </c>
      <c r="E84" s="11">
        <v>1492.0</v>
      </c>
      <c r="F84" s="13">
        <f t="shared" si="1"/>
        <v>1603</v>
      </c>
      <c r="G84" s="11">
        <v>1492.0</v>
      </c>
      <c r="H84" s="11">
        <v>1492.0</v>
      </c>
      <c r="I84" s="13">
        <f t="shared" si="2"/>
        <v>37</v>
      </c>
      <c r="J84" s="11">
        <v>13.0</v>
      </c>
      <c r="K84" s="13">
        <f t="shared" si="3"/>
        <v>-481</v>
      </c>
      <c r="L84" s="11" t="s">
        <v>42</v>
      </c>
      <c r="M84" s="13">
        <f t="shared" si="5"/>
        <v>19356</v>
      </c>
      <c r="N84" s="13">
        <f t="shared" si="4"/>
        <v>-37</v>
      </c>
      <c r="Q84" s="13"/>
    </row>
    <row r="85">
      <c r="A85" s="11">
        <v>77.0</v>
      </c>
      <c r="B85" s="12">
        <v>44257.0</v>
      </c>
      <c r="C85" s="12">
        <v>44263.0</v>
      </c>
      <c r="D85" s="11">
        <v>1474.0</v>
      </c>
      <c r="E85" s="11">
        <v>1450.0</v>
      </c>
      <c r="F85" s="13">
        <f t="shared" si="1"/>
        <v>1522</v>
      </c>
      <c r="G85" s="11">
        <v>1456.0</v>
      </c>
      <c r="H85" s="11">
        <v>1456.0</v>
      </c>
      <c r="I85" s="13">
        <f t="shared" si="2"/>
        <v>24</v>
      </c>
      <c r="J85" s="11">
        <v>20.0</v>
      </c>
      <c r="K85" s="13">
        <f t="shared" si="3"/>
        <v>-360</v>
      </c>
      <c r="L85" s="11" t="s">
        <v>42</v>
      </c>
      <c r="M85" s="13">
        <f t="shared" si="5"/>
        <v>18996</v>
      </c>
      <c r="N85" s="13">
        <f t="shared" si="4"/>
        <v>-18</v>
      </c>
      <c r="Q85" s="13"/>
    </row>
    <row r="86">
      <c r="A86" s="11">
        <v>78.0</v>
      </c>
      <c r="B86" s="12">
        <v>44265.0</v>
      </c>
      <c r="C86" s="12">
        <v>44273.0</v>
      </c>
      <c r="D86" s="11">
        <v>1481.0</v>
      </c>
      <c r="E86" s="11">
        <v>1463.0</v>
      </c>
      <c r="F86" s="13">
        <f t="shared" si="1"/>
        <v>1517</v>
      </c>
      <c r="G86" s="11">
        <v>1517.0</v>
      </c>
      <c r="H86" s="11">
        <v>1468.0</v>
      </c>
      <c r="I86" s="13">
        <f t="shared" si="2"/>
        <v>18</v>
      </c>
      <c r="J86" s="11">
        <v>27.0</v>
      </c>
      <c r="K86" s="13">
        <f t="shared" si="3"/>
        <v>310.5</v>
      </c>
      <c r="L86" s="11" t="s">
        <v>40</v>
      </c>
      <c r="M86" s="13">
        <f t="shared" si="5"/>
        <v>19306.5</v>
      </c>
      <c r="N86" s="13">
        <f t="shared" si="4"/>
        <v>11.5</v>
      </c>
      <c r="Q86" s="13"/>
    </row>
    <row r="87">
      <c r="A87" s="11">
        <v>79.0</v>
      </c>
      <c r="B87" s="12">
        <v>44278.0</v>
      </c>
      <c r="C87" s="12">
        <v>44280.0</v>
      </c>
      <c r="D87" s="11">
        <v>1515.0</v>
      </c>
      <c r="E87" s="11">
        <v>1454.0</v>
      </c>
      <c r="F87" s="13">
        <f t="shared" si="1"/>
        <v>1637</v>
      </c>
      <c r="G87" s="11">
        <v>1454.0</v>
      </c>
      <c r="H87" s="11">
        <v>1454.0</v>
      </c>
      <c r="I87" s="13">
        <f t="shared" si="2"/>
        <v>61</v>
      </c>
      <c r="J87" s="11">
        <v>8.0</v>
      </c>
      <c r="K87" s="13">
        <f t="shared" si="3"/>
        <v>-488</v>
      </c>
      <c r="L87" s="11" t="s">
        <v>42</v>
      </c>
      <c r="M87" s="13">
        <f t="shared" si="5"/>
        <v>18818.5</v>
      </c>
      <c r="N87" s="13">
        <f t="shared" si="4"/>
        <v>-61</v>
      </c>
      <c r="Q87" s="13"/>
    </row>
    <row r="88">
      <c r="A88" s="11">
        <v>80.0</v>
      </c>
      <c r="B88" s="12">
        <v>44281.0</v>
      </c>
      <c r="C88" s="12">
        <v>44298.0</v>
      </c>
      <c r="D88" s="11">
        <v>1512.0</v>
      </c>
      <c r="E88" s="11">
        <v>1457.0</v>
      </c>
      <c r="F88" s="13">
        <f t="shared" si="1"/>
        <v>1622</v>
      </c>
      <c r="G88" s="11">
        <v>1510.0</v>
      </c>
      <c r="H88" s="11">
        <v>1510.0</v>
      </c>
      <c r="I88" s="13">
        <f t="shared" si="2"/>
        <v>55</v>
      </c>
      <c r="J88" s="11">
        <v>9.0</v>
      </c>
      <c r="K88" s="13">
        <f t="shared" si="3"/>
        <v>-18</v>
      </c>
      <c r="L88" s="11" t="s">
        <v>42</v>
      </c>
      <c r="M88" s="13">
        <f t="shared" si="5"/>
        <v>18800.5</v>
      </c>
      <c r="N88" s="13">
        <f t="shared" si="4"/>
        <v>-2</v>
      </c>
      <c r="Q88" s="13"/>
    </row>
    <row r="89">
      <c r="A89" s="11">
        <v>81.0</v>
      </c>
      <c r="B89" s="12">
        <v>44299.0</v>
      </c>
      <c r="C89" s="12">
        <v>44305.0</v>
      </c>
      <c r="D89" s="11">
        <v>1553.0</v>
      </c>
      <c r="E89" s="11">
        <v>1516.0</v>
      </c>
      <c r="F89" s="13">
        <f t="shared" si="1"/>
        <v>1627</v>
      </c>
      <c r="G89" s="11">
        <v>1516.0</v>
      </c>
      <c r="H89" s="11">
        <v>1516.0</v>
      </c>
      <c r="I89" s="13">
        <f t="shared" si="2"/>
        <v>37</v>
      </c>
      <c r="J89" s="11">
        <v>13.0</v>
      </c>
      <c r="K89" s="13">
        <f t="shared" si="3"/>
        <v>-481</v>
      </c>
      <c r="L89" s="11" t="s">
        <v>42</v>
      </c>
      <c r="M89" s="13">
        <f t="shared" si="5"/>
        <v>18319.5</v>
      </c>
      <c r="N89" s="13">
        <f t="shared" si="4"/>
        <v>-37</v>
      </c>
      <c r="Q89" s="13"/>
    </row>
    <row r="90">
      <c r="A90" s="11">
        <v>82.0</v>
      </c>
      <c r="B90" s="12">
        <v>44314.0</v>
      </c>
      <c r="C90" s="12">
        <v>44315.0</v>
      </c>
      <c r="D90" s="11">
        <v>1515.0</v>
      </c>
      <c r="E90" s="11">
        <v>1491.0</v>
      </c>
      <c r="F90" s="13">
        <f t="shared" si="1"/>
        <v>1563</v>
      </c>
      <c r="G90" s="11">
        <v>1506.0</v>
      </c>
      <c r="H90" s="11">
        <v>1506.0</v>
      </c>
      <c r="I90" s="13">
        <f t="shared" si="2"/>
        <v>24</v>
      </c>
      <c r="J90" s="11">
        <v>20.0</v>
      </c>
      <c r="K90" s="13">
        <f t="shared" si="3"/>
        <v>-180</v>
      </c>
      <c r="L90" s="11" t="s">
        <v>42</v>
      </c>
      <c r="M90" s="13">
        <f t="shared" si="5"/>
        <v>18139.5</v>
      </c>
      <c r="N90" s="13">
        <f t="shared" si="4"/>
        <v>-9</v>
      </c>
      <c r="Q90" s="13"/>
    </row>
    <row r="91">
      <c r="A91" s="11">
        <v>83.0</v>
      </c>
      <c r="B91" s="15">
        <v>44334.0</v>
      </c>
      <c r="C91" s="12">
        <v>44386.0</v>
      </c>
      <c r="D91" s="11">
        <v>1547.0</v>
      </c>
      <c r="E91" s="11">
        <v>1476.0</v>
      </c>
      <c r="F91" s="13">
        <f t="shared" si="1"/>
        <v>1689</v>
      </c>
      <c r="G91" s="11">
        <v>1689.0</v>
      </c>
      <c r="H91" s="11">
        <v>1720.0</v>
      </c>
      <c r="I91" s="13">
        <f t="shared" si="2"/>
        <v>71</v>
      </c>
      <c r="J91" s="11">
        <v>7.0</v>
      </c>
      <c r="K91" s="13">
        <f t="shared" si="3"/>
        <v>1102.5</v>
      </c>
      <c r="L91" s="11" t="s">
        <v>40</v>
      </c>
      <c r="M91" s="13">
        <f t="shared" si="5"/>
        <v>19242</v>
      </c>
      <c r="N91" s="13">
        <f t="shared" si="4"/>
        <v>157.5</v>
      </c>
      <c r="Q91" s="13"/>
    </row>
    <row r="92">
      <c r="A92" s="11">
        <v>84.0</v>
      </c>
      <c r="B92" s="12">
        <v>44403.0</v>
      </c>
      <c r="C92" s="12">
        <v>44407.0</v>
      </c>
      <c r="D92" s="11">
        <v>1737.0</v>
      </c>
      <c r="E92" s="11">
        <v>1700.0</v>
      </c>
      <c r="F92" s="13">
        <f t="shared" si="1"/>
        <v>1811</v>
      </c>
      <c r="G92" s="11">
        <v>1714.0</v>
      </c>
      <c r="H92" s="11">
        <v>1714.0</v>
      </c>
      <c r="I92" s="13">
        <f t="shared" si="2"/>
        <v>37</v>
      </c>
      <c r="J92" s="11">
        <v>13.0</v>
      </c>
      <c r="K92" s="13">
        <f t="shared" si="3"/>
        <v>-299</v>
      </c>
      <c r="L92" s="11" t="s">
        <v>42</v>
      </c>
      <c r="M92" s="13">
        <f t="shared" si="5"/>
        <v>18943</v>
      </c>
      <c r="N92" s="13">
        <f t="shared" si="4"/>
        <v>-23</v>
      </c>
      <c r="Q92" s="13"/>
    </row>
    <row r="93">
      <c r="A93" s="11">
        <v>85.0</v>
      </c>
      <c r="B93" s="12">
        <v>44410.0</v>
      </c>
      <c r="C93" s="12">
        <v>44434.0</v>
      </c>
      <c r="D93" s="11">
        <v>1776.0</v>
      </c>
      <c r="E93" s="11">
        <v>1725.0</v>
      </c>
      <c r="F93" s="13">
        <f t="shared" si="1"/>
        <v>1878</v>
      </c>
      <c r="G93" s="11">
        <v>1878.0</v>
      </c>
      <c r="H93" s="11">
        <v>1815.0</v>
      </c>
      <c r="I93" s="13">
        <f t="shared" si="2"/>
        <v>51</v>
      </c>
      <c r="J93" s="11">
        <v>9.0</v>
      </c>
      <c r="K93" s="13">
        <f t="shared" si="3"/>
        <v>634.5</v>
      </c>
      <c r="L93" s="11" t="s">
        <v>40</v>
      </c>
      <c r="M93" s="13">
        <f t="shared" si="5"/>
        <v>19577.5</v>
      </c>
      <c r="N93" s="13">
        <f t="shared" si="4"/>
        <v>70.5</v>
      </c>
      <c r="Q93" s="13"/>
    </row>
    <row r="94">
      <c r="A94" s="11">
        <v>86.0</v>
      </c>
      <c r="B94" s="12">
        <v>44438.0</v>
      </c>
      <c r="C94" s="12">
        <v>44522.0</v>
      </c>
      <c r="D94" s="11">
        <v>1887.0</v>
      </c>
      <c r="E94" s="11">
        <v>1831.0</v>
      </c>
      <c r="F94" s="13">
        <f t="shared" si="1"/>
        <v>1999</v>
      </c>
      <c r="G94" s="11">
        <v>1999.0</v>
      </c>
      <c r="H94" s="11">
        <v>2391.0</v>
      </c>
      <c r="I94" s="13">
        <f t="shared" si="2"/>
        <v>56</v>
      </c>
      <c r="J94" s="11">
        <v>8.0</v>
      </c>
      <c r="K94" s="13">
        <f t="shared" si="3"/>
        <v>2464</v>
      </c>
      <c r="L94" s="11" t="s">
        <v>40</v>
      </c>
      <c r="M94" s="13">
        <f t="shared" si="5"/>
        <v>22041.5</v>
      </c>
      <c r="N94" s="13">
        <f t="shared" si="4"/>
        <v>308</v>
      </c>
      <c r="Q94" s="13"/>
    </row>
    <row r="95">
      <c r="A95" s="11">
        <v>87.0</v>
      </c>
      <c r="B95" s="12">
        <v>44538.0</v>
      </c>
      <c r="C95" s="12">
        <v>44539.0</v>
      </c>
      <c r="D95" s="11">
        <v>2418.0</v>
      </c>
      <c r="E95" s="11">
        <v>2377.0</v>
      </c>
      <c r="F95" s="13">
        <f t="shared" si="1"/>
        <v>2500</v>
      </c>
      <c r="G95" s="11">
        <v>2377.0</v>
      </c>
      <c r="H95" s="11">
        <v>2377.0</v>
      </c>
      <c r="I95" s="13">
        <f t="shared" si="2"/>
        <v>41</v>
      </c>
      <c r="J95" s="11">
        <v>12.0</v>
      </c>
      <c r="K95" s="13">
        <f t="shared" si="3"/>
        <v>-492</v>
      </c>
      <c r="L95" s="11" t="s">
        <v>42</v>
      </c>
      <c r="M95" s="13">
        <f t="shared" si="5"/>
        <v>21549.5</v>
      </c>
      <c r="N95" s="13">
        <f t="shared" si="4"/>
        <v>-41</v>
      </c>
      <c r="Q95" s="13"/>
    </row>
    <row r="96">
      <c r="A96" s="11">
        <v>88.0</v>
      </c>
      <c r="B96" s="12">
        <v>44558.0</v>
      </c>
      <c r="C96" s="12">
        <v>44582.0</v>
      </c>
      <c r="D96" s="11">
        <v>2385.0</v>
      </c>
      <c r="E96" s="11">
        <v>2327.0</v>
      </c>
      <c r="F96" s="13">
        <f t="shared" si="1"/>
        <v>2501</v>
      </c>
      <c r="G96" s="11">
        <v>2501.0</v>
      </c>
      <c r="H96" s="11">
        <v>2528.0</v>
      </c>
      <c r="I96" s="13">
        <f t="shared" si="2"/>
        <v>58</v>
      </c>
      <c r="J96" s="11">
        <v>8.0</v>
      </c>
      <c r="K96" s="13">
        <f t="shared" si="3"/>
        <v>1036</v>
      </c>
      <c r="L96" s="11" t="s">
        <v>40</v>
      </c>
      <c r="M96" s="13">
        <f t="shared" si="5"/>
        <v>22585.5</v>
      </c>
      <c r="N96" s="13">
        <f t="shared" si="4"/>
        <v>129.5</v>
      </c>
      <c r="Q96" s="13"/>
    </row>
    <row r="97">
      <c r="A97" s="11">
        <v>89.0</v>
      </c>
      <c r="B97" s="12">
        <v>44594.0</v>
      </c>
      <c r="C97" s="12">
        <v>44599.0</v>
      </c>
      <c r="D97" s="11">
        <v>2477.0</v>
      </c>
      <c r="E97" s="11">
        <v>2441.0</v>
      </c>
      <c r="F97" s="13">
        <f t="shared" si="1"/>
        <v>2549</v>
      </c>
      <c r="G97" s="11">
        <v>2441.0</v>
      </c>
      <c r="H97" s="11">
        <v>2441.0</v>
      </c>
      <c r="I97" s="13">
        <f t="shared" si="2"/>
        <v>36</v>
      </c>
      <c r="J97" s="11">
        <v>13.0</v>
      </c>
      <c r="K97" s="13">
        <f t="shared" si="3"/>
        <v>-468</v>
      </c>
      <c r="L97" s="11" t="s">
        <v>42</v>
      </c>
      <c r="M97" s="13">
        <f t="shared" si="5"/>
        <v>22117.5</v>
      </c>
      <c r="N97" s="13">
        <f t="shared" si="4"/>
        <v>-36</v>
      </c>
      <c r="Q97" s="13"/>
    </row>
    <row r="98">
      <c r="A98" s="11">
        <v>90.0</v>
      </c>
      <c r="B98" s="12">
        <v>44601.0</v>
      </c>
      <c r="C98" s="12">
        <v>44603.0</v>
      </c>
      <c r="D98" s="11">
        <v>2495.0</v>
      </c>
      <c r="E98" s="11">
        <v>2456.0</v>
      </c>
      <c r="F98" s="13">
        <f t="shared" si="1"/>
        <v>2573</v>
      </c>
      <c r="G98" s="11">
        <v>2456.0</v>
      </c>
      <c r="H98" s="11">
        <v>2456.0</v>
      </c>
      <c r="I98" s="13">
        <f t="shared" si="2"/>
        <v>39</v>
      </c>
      <c r="J98" s="11">
        <v>12.0</v>
      </c>
      <c r="K98" s="13">
        <f t="shared" si="3"/>
        <v>-468</v>
      </c>
      <c r="L98" s="11" t="s">
        <v>42</v>
      </c>
      <c r="M98" s="13">
        <f t="shared" si="5"/>
        <v>21649.5</v>
      </c>
      <c r="N98" s="13">
        <f t="shared" si="4"/>
        <v>-39</v>
      </c>
      <c r="Q98" s="13"/>
    </row>
    <row r="99">
      <c r="A99" s="11">
        <v>91.0</v>
      </c>
      <c r="B99" s="12">
        <v>44607.0</v>
      </c>
      <c r="C99" s="12">
        <v>44613.0</v>
      </c>
      <c r="D99" s="11">
        <v>2500.0</v>
      </c>
      <c r="E99" s="11">
        <v>2399.0</v>
      </c>
      <c r="F99" s="13">
        <f t="shared" si="1"/>
        <v>2702</v>
      </c>
      <c r="G99" s="11">
        <v>2454.0</v>
      </c>
      <c r="H99" s="11">
        <v>2454.0</v>
      </c>
      <c r="I99" s="13">
        <f t="shared" si="2"/>
        <v>101</v>
      </c>
      <c r="J99" s="11">
        <v>4.0</v>
      </c>
      <c r="K99" s="13">
        <f t="shared" si="3"/>
        <v>-184</v>
      </c>
      <c r="L99" s="11" t="s">
        <v>42</v>
      </c>
      <c r="M99" s="13">
        <f t="shared" si="5"/>
        <v>21465.5</v>
      </c>
      <c r="N99" s="13">
        <f t="shared" si="4"/>
        <v>-46</v>
      </c>
      <c r="Q99" s="13"/>
    </row>
    <row r="100">
      <c r="A100" s="11">
        <v>92.0</v>
      </c>
      <c r="B100" s="12">
        <v>44615.0</v>
      </c>
      <c r="C100" s="12">
        <v>44616.0</v>
      </c>
      <c r="D100" s="11">
        <v>2525.0</v>
      </c>
      <c r="E100" s="11">
        <v>2452.0</v>
      </c>
      <c r="F100" s="13">
        <f t="shared" si="1"/>
        <v>2671</v>
      </c>
      <c r="G100" s="11">
        <v>2452.0</v>
      </c>
      <c r="H100" s="11">
        <v>2452.0</v>
      </c>
      <c r="I100" s="13">
        <f t="shared" si="2"/>
        <v>73</v>
      </c>
      <c r="J100" s="11">
        <v>6.0</v>
      </c>
      <c r="K100" s="13">
        <f t="shared" si="3"/>
        <v>-438</v>
      </c>
      <c r="L100" s="11" t="s">
        <v>42</v>
      </c>
      <c r="M100" s="13">
        <f t="shared" si="5"/>
        <v>21027.5</v>
      </c>
      <c r="N100" s="13">
        <f t="shared" si="4"/>
        <v>-73</v>
      </c>
      <c r="Q100" s="13"/>
    </row>
    <row r="101">
      <c r="A101" s="11">
        <v>93.0</v>
      </c>
      <c r="B101" s="12">
        <v>44617.0</v>
      </c>
      <c r="C101" s="12">
        <v>44624.0</v>
      </c>
      <c r="D101" s="11">
        <v>2474.0</v>
      </c>
      <c r="E101" s="11">
        <v>2423.0</v>
      </c>
      <c r="F101" s="13">
        <f t="shared" si="1"/>
        <v>2576</v>
      </c>
      <c r="G101" s="11">
        <v>2441.0</v>
      </c>
      <c r="H101" s="11">
        <v>2441.0</v>
      </c>
      <c r="I101" s="13">
        <f t="shared" si="2"/>
        <v>51</v>
      </c>
      <c r="J101" s="11">
        <v>9.0</v>
      </c>
      <c r="K101" s="13">
        <f t="shared" si="3"/>
        <v>-297</v>
      </c>
      <c r="L101" s="11" t="s">
        <v>42</v>
      </c>
      <c r="M101" s="13">
        <f t="shared" si="5"/>
        <v>20730.5</v>
      </c>
      <c r="N101" s="13">
        <f t="shared" si="4"/>
        <v>-33</v>
      </c>
      <c r="Q101" s="13"/>
    </row>
    <row r="102">
      <c r="A102" s="11">
        <v>94.0</v>
      </c>
      <c r="B102" s="12">
        <v>44630.0</v>
      </c>
      <c r="C102" s="12">
        <v>44645.0</v>
      </c>
      <c r="D102" s="11">
        <v>2504.0</v>
      </c>
      <c r="E102" s="11">
        <v>2444.0</v>
      </c>
      <c r="F102" s="13">
        <f t="shared" si="1"/>
        <v>2624</v>
      </c>
      <c r="G102" s="11">
        <v>2624.0</v>
      </c>
      <c r="H102" s="11">
        <v>2523.0</v>
      </c>
      <c r="I102" s="13">
        <f t="shared" si="2"/>
        <v>60</v>
      </c>
      <c r="J102" s="11">
        <v>8.0</v>
      </c>
      <c r="K102" s="13">
        <f t="shared" si="3"/>
        <v>556</v>
      </c>
      <c r="L102" s="11" t="s">
        <v>40</v>
      </c>
      <c r="M102" s="13">
        <f t="shared" si="5"/>
        <v>21286.5</v>
      </c>
      <c r="N102" s="13">
        <f t="shared" si="4"/>
        <v>69.5</v>
      </c>
      <c r="Q102" s="13"/>
    </row>
    <row r="103">
      <c r="A103" s="11">
        <v>95.0</v>
      </c>
      <c r="B103" s="12">
        <v>44656.0</v>
      </c>
      <c r="C103" s="12">
        <v>44657.0</v>
      </c>
      <c r="D103" s="11">
        <v>2578.0</v>
      </c>
      <c r="E103" s="11">
        <v>2520.0</v>
      </c>
      <c r="F103" s="13">
        <f t="shared" si="1"/>
        <v>2694</v>
      </c>
      <c r="G103" s="11">
        <v>2540.0</v>
      </c>
      <c r="H103" s="11">
        <v>2540.0</v>
      </c>
      <c r="I103" s="13">
        <f t="shared" si="2"/>
        <v>58</v>
      </c>
      <c r="J103" s="11">
        <v>8.0</v>
      </c>
      <c r="K103" s="13">
        <f t="shared" si="3"/>
        <v>-304</v>
      </c>
      <c r="L103" s="11" t="s">
        <v>42</v>
      </c>
      <c r="M103" s="13">
        <f t="shared" si="5"/>
        <v>20982.5</v>
      </c>
      <c r="N103" s="13">
        <f t="shared" si="4"/>
        <v>-38</v>
      </c>
      <c r="Q103" s="13"/>
    </row>
    <row r="104">
      <c r="A104" s="11">
        <v>96.0</v>
      </c>
      <c r="B104" s="12">
        <v>44672.0</v>
      </c>
      <c r="C104" s="12">
        <v>44676.0</v>
      </c>
      <c r="D104" s="11">
        <v>2525.0</v>
      </c>
      <c r="E104" s="11">
        <v>2466.0</v>
      </c>
      <c r="F104" s="13">
        <f t="shared" si="1"/>
        <v>2643</v>
      </c>
      <c r="G104" s="11">
        <v>2466.0</v>
      </c>
      <c r="H104" s="11">
        <v>2466.0</v>
      </c>
      <c r="I104" s="13">
        <f t="shared" si="2"/>
        <v>59</v>
      </c>
      <c r="J104" s="11">
        <v>8.0</v>
      </c>
      <c r="K104" s="13">
        <f t="shared" si="3"/>
        <v>-472</v>
      </c>
      <c r="L104" s="11" t="s">
        <v>42</v>
      </c>
      <c r="M104" s="13">
        <f t="shared" si="5"/>
        <v>20510.5</v>
      </c>
      <c r="N104" s="13">
        <f t="shared" si="4"/>
        <v>-59</v>
      </c>
      <c r="Q104" s="13"/>
    </row>
    <row r="105">
      <c r="A105" s="11">
        <v>97.0</v>
      </c>
      <c r="B105" s="12">
        <v>44677.0</v>
      </c>
      <c r="C105" s="12">
        <v>44678.0</v>
      </c>
      <c r="D105" s="11">
        <v>2552.0</v>
      </c>
      <c r="E105" s="11">
        <v>2459.0</v>
      </c>
      <c r="F105" s="13">
        <f t="shared" si="1"/>
        <v>2738</v>
      </c>
      <c r="G105" s="11">
        <v>2492.0</v>
      </c>
      <c r="H105" s="11">
        <v>2466.0</v>
      </c>
      <c r="I105" s="13">
        <f t="shared" si="2"/>
        <v>93</v>
      </c>
      <c r="J105" s="11">
        <v>5.0</v>
      </c>
      <c r="K105" s="13">
        <f t="shared" si="3"/>
        <v>-365</v>
      </c>
      <c r="L105" s="11" t="s">
        <v>42</v>
      </c>
      <c r="M105" s="13">
        <f t="shared" si="5"/>
        <v>20145.5</v>
      </c>
      <c r="N105" s="13">
        <f t="shared" si="4"/>
        <v>-73</v>
      </c>
      <c r="Q105" s="13"/>
    </row>
    <row r="106">
      <c r="A106" s="11">
        <v>98.0</v>
      </c>
      <c r="B106" s="12">
        <v>44679.0</v>
      </c>
      <c r="C106" s="12">
        <v>44680.0</v>
      </c>
      <c r="D106" s="11">
        <v>2531.0</v>
      </c>
      <c r="E106" s="11">
        <v>2477.0</v>
      </c>
      <c r="F106" s="13">
        <f t="shared" si="1"/>
        <v>2639</v>
      </c>
      <c r="G106" s="11">
        <v>2477.0</v>
      </c>
      <c r="H106" s="11">
        <v>2477.0</v>
      </c>
      <c r="I106" s="13">
        <f t="shared" si="2"/>
        <v>54</v>
      </c>
      <c r="J106" s="11">
        <v>9.0</v>
      </c>
      <c r="K106" s="13">
        <f t="shared" si="3"/>
        <v>-486</v>
      </c>
      <c r="L106" s="11" t="s">
        <v>42</v>
      </c>
      <c r="M106" s="13">
        <f t="shared" si="5"/>
        <v>19659.5</v>
      </c>
      <c r="N106" s="13">
        <f t="shared" si="4"/>
        <v>-54</v>
      </c>
      <c r="Q106" s="13"/>
    </row>
    <row r="107">
      <c r="A107" s="11">
        <v>99.0</v>
      </c>
      <c r="B107" s="12">
        <v>44760.0</v>
      </c>
      <c r="C107" s="11" t="s">
        <v>91</v>
      </c>
      <c r="D107" s="11">
        <v>2247.0</v>
      </c>
      <c r="E107" s="11">
        <v>2194.0</v>
      </c>
      <c r="F107" s="13">
        <f t="shared" si="1"/>
        <v>2353</v>
      </c>
      <c r="G107" s="11">
        <v>2353.0</v>
      </c>
      <c r="H107" s="11">
        <v>2600.0</v>
      </c>
      <c r="I107" s="13">
        <f t="shared" si="2"/>
        <v>53</v>
      </c>
      <c r="J107" s="11">
        <v>9.0</v>
      </c>
      <c r="K107" s="13">
        <f t="shared" si="3"/>
        <v>2065.5</v>
      </c>
      <c r="L107" s="11" t="s">
        <v>40</v>
      </c>
      <c r="M107" s="13">
        <f t="shared" si="5"/>
        <v>21725</v>
      </c>
      <c r="N107" s="13">
        <f t="shared" si="4"/>
        <v>229.5</v>
      </c>
      <c r="Q107" s="13"/>
    </row>
    <row r="108">
      <c r="A108" s="11">
        <v>100.0</v>
      </c>
      <c r="B108" s="12">
        <v>44841.0</v>
      </c>
      <c r="C108" s="12">
        <v>44844.0</v>
      </c>
      <c r="D108" s="11">
        <v>2745.0</v>
      </c>
      <c r="E108" s="11">
        <v>2675.0</v>
      </c>
      <c r="F108" s="13">
        <f t="shared" si="1"/>
        <v>2885</v>
      </c>
      <c r="G108" s="11">
        <v>2675.0</v>
      </c>
      <c r="H108" s="11">
        <v>2675.0</v>
      </c>
      <c r="I108" s="13">
        <f t="shared" si="2"/>
        <v>70</v>
      </c>
      <c r="J108" s="11">
        <v>7.0</v>
      </c>
      <c r="K108" s="13">
        <f t="shared" si="3"/>
        <v>-490</v>
      </c>
      <c r="L108" s="11" t="s">
        <v>42</v>
      </c>
      <c r="M108" s="13">
        <f t="shared" si="5"/>
        <v>21235</v>
      </c>
      <c r="N108" s="13">
        <f t="shared" si="4"/>
        <v>-70</v>
      </c>
      <c r="Q108" s="13"/>
    </row>
    <row r="109">
      <c r="A109" s="11">
        <v>101.0</v>
      </c>
      <c r="B109" s="12">
        <v>44851.0</v>
      </c>
      <c r="C109" s="12">
        <v>44854.0</v>
      </c>
      <c r="D109" s="11">
        <v>2635.0</v>
      </c>
      <c r="E109" s="11">
        <v>2602.0</v>
      </c>
      <c r="F109" s="13">
        <f t="shared" si="1"/>
        <v>2701</v>
      </c>
      <c r="G109" s="11">
        <v>2631.0</v>
      </c>
      <c r="H109" s="11">
        <v>2631.0</v>
      </c>
      <c r="I109" s="13">
        <f t="shared" si="2"/>
        <v>33</v>
      </c>
      <c r="J109" s="11">
        <v>15.0</v>
      </c>
      <c r="K109" s="13">
        <f t="shared" si="3"/>
        <v>-60</v>
      </c>
      <c r="L109" s="11" t="s">
        <v>42</v>
      </c>
      <c r="M109" s="13">
        <f t="shared" si="5"/>
        <v>21175</v>
      </c>
      <c r="N109" s="13">
        <f t="shared" si="4"/>
        <v>-4</v>
      </c>
      <c r="Q109" s="13"/>
    </row>
    <row r="110">
      <c r="A110" s="11">
        <v>102.0</v>
      </c>
      <c r="B110" s="12">
        <v>44855.0</v>
      </c>
      <c r="C110" s="12">
        <v>44875.0</v>
      </c>
      <c r="D110" s="11">
        <v>2680.0</v>
      </c>
      <c r="E110" s="11">
        <v>2640.0</v>
      </c>
      <c r="F110" s="13">
        <f t="shared" si="1"/>
        <v>2760</v>
      </c>
      <c r="G110" s="11">
        <v>2760.0</v>
      </c>
      <c r="H110" s="11">
        <v>2641.0</v>
      </c>
      <c r="I110" s="13">
        <f t="shared" si="2"/>
        <v>40</v>
      </c>
      <c r="J110" s="11">
        <v>12.0</v>
      </c>
      <c r="K110" s="13">
        <f t="shared" si="3"/>
        <v>246</v>
      </c>
      <c r="L110" s="11" t="s">
        <v>40</v>
      </c>
      <c r="M110" s="13">
        <f t="shared" si="5"/>
        <v>21421</v>
      </c>
      <c r="N110" s="13">
        <f t="shared" si="4"/>
        <v>20.5</v>
      </c>
      <c r="Q110" s="13"/>
    </row>
    <row r="111">
      <c r="A111" s="11">
        <v>103.0</v>
      </c>
      <c r="B111" s="12">
        <v>44895.0</v>
      </c>
      <c r="C111" s="12">
        <v>44897.0</v>
      </c>
      <c r="D111" s="11">
        <v>2665.0</v>
      </c>
      <c r="E111" s="11">
        <v>2604.0</v>
      </c>
      <c r="F111" s="13">
        <f t="shared" si="1"/>
        <v>2787</v>
      </c>
      <c r="G111" s="11">
        <v>2617.0</v>
      </c>
      <c r="H111" s="11">
        <v>2617.0</v>
      </c>
      <c r="I111" s="13">
        <f t="shared" si="2"/>
        <v>61</v>
      </c>
      <c r="J111" s="11">
        <v>8.0</v>
      </c>
      <c r="K111" s="13">
        <f t="shared" si="3"/>
        <v>-384</v>
      </c>
      <c r="L111" s="11" t="s">
        <v>42</v>
      </c>
      <c r="M111" s="13">
        <f t="shared" si="5"/>
        <v>21037</v>
      </c>
      <c r="N111" s="13">
        <f t="shared" si="4"/>
        <v>-48</v>
      </c>
      <c r="Q111" s="13"/>
    </row>
    <row r="112">
      <c r="A112" s="11">
        <v>104.0</v>
      </c>
      <c r="B112" s="12">
        <v>44923.0</v>
      </c>
      <c r="C112" s="12">
        <v>44931.0</v>
      </c>
      <c r="D112" s="11">
        <v>2596.0</v>
      </c>
      <c r="E112" s="11">
        <v>2497.0</v>
      </c>
      <c r="F112" s="13">
        <f t="shared" si="1"/>
        <v>2794</v>
      </c>
      <c r="G112" s="11">
        <v>2562.0</v>
      </c>
      <c r="H112" s="11">
        <v>2562.0</v>
      </c>
      <c r="I112" s="13">
        <f t="shared" si="2"/>
        <v>99</v>
      </c>
      <c r="J112" s="11">
        <v>5.0</v>
      </c>
      <c r="K112" s="13">
        <f t="shared" si="3"/>
        <v>-170</v>
      </c>
      <c r="L112" s="11" t="s">
        <v>42</v>
      </c>
      <c r="M112" s="13">
        <f t="shared" si="5"/>
        <v>20867</v>
      </c>
      <c r="N112" s="13">
        <f t="shared" si="4"/>
        <v>-34</v>
      </c>
      <c r="Q112" s="13"/>
    </row>
    <row r="113">
      <c r="A113" s="11">
        <v>105.0</v>
      </c>
      <c r="B113" s="12">
        <v>45005.0</v>
      </c>
      <c r="C113" s="15">
        <v>45069.0</v>
      </c>
      <c r="D113" s="11">
        <v>2475.0</v>
      </c>
      <c r="E113" s="11">
        <v>2441.0</v>
      </c>
      <c r="F113" s="13">
        <f t="shared" si="1"/>
        <v>2543</v>
      </c>
      <c r="G113" s="11">
        <v>2543.0</v>
      </c>
      <c r="H113" s="11">
        <v>2683.0</v>
      </c>
      <c r="I113" s="13">
        <f t="shared" si="2"/>
        <v>34</v>
      </c>
      <c r="J113" s="11">
        <v>14.0</v>
      </c>
      <c r="K113" s="13">
        <f t="shared" si="3"/>
        <v>1932</v>
      </c>
      <c r="L113" s="11" t="s">
        <v>40</v>
      </c>
      <c r="M113" s="13">
        <f t="shared" si="5"/>
        <v>22799</v>
      </c>
      <c r="N113" s="13">
        <f t="shared" si="4"/>
        <v>138</v>
      </c>
      <c r="Q113" s="13"/>
    </row>
    <row r="114">
      <c r="A114" s="11">
        <v>106.0</v>
      </c>
      <c r="B114" s="15">
        <v>45070.0</v>
      </c>
      <c r="C114" s="12">
        <v>45125.0</v>
      </c>
      <c r="D114" s="11">
        <v>2722.0</v>
      </c>
      <c r="E114" s="11">
        <v>2670.0</v>
      </c>
      <c r="F114" s="13">
        <f t="shared" si="1"/>
        <v>2826</v>
      </c>
      <c r="G114" s="11">
        <v>2826.0</v>
      </c>
      <c r="H114" s="11">
        <v>2996.0</v>
      </c>
      <c r="I114" s="13">
        <f t="shared" si="2"/>
        <v>52</v>
      </c>
      <c r="J114" s="11">
        <v>9.0</v>
      </c>
      <c r="K114" s="13">
        <f t="shared" si="3"/>
        <v>1701</v>
      </c>
      <c r="L114" s="11" t="s">
        <v>40</v>
      </c>
      <c r="M114" s="13">
        <f t="shared" si="5"/>
        <v>24500</v>
      </c>
      <c r="N114" s="13">
        <f t="shared" si="4"/>
        <v>189</v>
      </c>
      <c r="Q114" s="13"/>
    </row>
    <row r="115">
      <c r="A115" s="11">
        <v>107.0</v>
      </c>
      <c r="B115" s="12">
        <v>45132.0</v>
      </c>
      <c r="C115" s="12">
        <v>45133.0</v>
      </c>
      <c r="D115" s="11">
        <v>3033.0</v>
      </c>
      <c r="E115" s="11">
        <v>2972.0</v>
      </c>
      <c r="F115" s="13">
        <f t="shared" si="1"/>
        <v>3155</v>
      </c>
      <c r="G115" s="11">
        <v>3008.0</v>
      </c>
      <c r="H115" s="11">
        <v>3008.0</v>
      </c>
      <c r="I115" s="13">
        <f t="shared" si="2"/>
        <v>61</v>
      </c>
      <c r="J115" s="11">
        <v>8.0</v>
      </c>
      <c r="K115" s="13">
        <f t="shared" si="3"/>
        <v>-200</v>
      </c>
      <c r="L115" s="11" t="s">
        <v>42</v>
      </c>
      <c r="M115" s="13">
        <f t="shared" si="5"/>
        <v>24300</v>
      </c>
      <c r="N115" s="13">
        <f t="shared" si="4"/>
        <v>-25</v>
      </c>
      <c r="Q115" s="13"/>
    </row>
    <row r="116">
      <c r="A116" s="11">
        <v>108.0</v>
      </c>
      <c r="B116" s="12">
        <v>45148.0</v>
      </c>
      <c r="C116" s="11" t="s">
        <v>113</v>
      </c>
      <c r="D116" s="11">
        <v>2995.0</v>
      </c>
      <c r="E116" s="11">
        <v>2917.0</v>
      </c>
      <c r="F116" s="13">
        <f t="shared" si="1"/>
        <v>3151</v>
      </c>
      <c r="G116" s="11">
        <v>3151.0</v>
      </c>
      <c r="H116" s="11">
        <v>3157.0</v>
      </c>
      <c r="I116" s="13">
        <f t="shared" si="2"/>
        <v>78</v>
      </c>
      <c r="J116" s="11">
        <v>6.0</v>
      </c>
      <c r="K116" s="13">
        <f t="shared" si="3"/>
        <v>954</v>
      </c>
      <c r="L116" s="11" t="s">
        <v>40</v>
      </c>
      <c r="M116" s="13">
        <f t="shared" si="5"/>
        <v>25254</v>
      </c>
      <c r="N116" s="13">
        <f t="shared" si="4"/>
        <v>159</v>
      </c>
      <c r="Q116" s="13"/>
    </row>
    <row r="117">
      <c r="A117" s="11">
        <v>109.0</v>
      </c>
      <c r="B117" s="12">
        <v>45204.0</v>
      </c>
      <c r="C117" s="12">
        <v>45222.0</v>
      </c>
      <c r="D117" s="11">
        <v>3231.0</v>
      </c>
      <c r="E117" s="11">
        <v>3165.0</v>
      </c>
      <c r="F117" s="13">
        <f t="shared" si="1"/>
        <v>3363</v>
      </c>
      <c r="G117" s="11">
        <v>3219.0</v>
      </c>
      <c r="H117" s="11">
        <v>3219.0</v>
      </c>
      <c r="I117" s="13">
        <f t="shared" si="2"/>
        <v>66</v>
      </c>
      <c r="J117" s="11">
        <v>7.0</v>
      </c>
      <c r="K117" s="13">
        <f t="shared" si="3"/>
        <v>-84</v>
      </c>
      <c r="L117" s="11" t="s">
        <v>42</v>
      </c>
      <c r="M117" s="13">
        <f t="shared" si="5"/>
        <v>25170</v>
      </c>
      <c r="N117" s="13">
        <f t="shared" si="4"/>
        <v>-12</v>
      </c>
      <c r="Q117" s="13"/>
    </row>
    <row r="118">
      <c r="A118" s="11">
        <v>110.0</v>
      </c>
      <c r="B118" s="12">
        <v>45233.0</v>
      </c>
      <c r="C118" s="12">
        <v>45321.0</v>
      </c>
      <c r="D118" s="11">
        <v>3288.0</v>
      </c>
      <c r="E118" s="11">
        <v>3205.0</v>
      </c>
      <c r="F118" s="13">
        <f t="shared" si="1"/>
        <v>3454</v>
      </c>
      <c r="G118" s="11">
        <v>3454.0</v>
      </c>
      <c r="H118" s="11">
        <v>3735.0</v>
      </c>
      <c r="I118" s="13">
        <f t="shared" si="2"/>
        <v>83</v>
      </c>
      <c r="J118" s="11">
        <v>6.0</v>
      </c>
      <c r="K118" s="13">
        <f t="shared" si="3"/>
        <v>1839</v>
      </c>
      <c r="L118" s="11" t="s">
        <v>40</v>
      </c>
      <c r="M118" s="13">
        <f t="shared" si="5"/>
        <v>27009</v>
      </c>
      <c r="N118" s="13">
        <f t="shared" si="4"/>
        <v>306.5</v>
      </c>
      <c r="Q118" s="13"/>
    </row>
    <row r="119">
      <c r="A119" s="11">
        <v>111.0</v>
      </c>
      <c r="B119" s="12">
        <v>45338.0</v>
      </c>
      <c r="C119" s="12">
        <v>45344.0</v>
      </c>
      <c r="D119" s="11">
        <v>3690.0</v>
      </c>
      <c r="E119" s="11">
        <v>3624.0</v>
      </c>
      <c r="F119" s="13">
        <f t="shared" si="1"/>
        <v>3822</v>
      </c>
      <c r="G119" s="11">
        <v>3624.0</v>
      </c>
      <c r="H119" s="11">
        <v>3624.0</v>
      </c>
      <c r="I119" s="13">
        <f t="shared" si="2"/>
        <v>66</v>
      </c>
      <c r="J119" s="11">
        <v>7.0</v>
      </c>
      <c r="K119" s="13">
        <f t="shared" si="3"/>
        <v>-462</v>
      </c>
      <c r="L119" s="11" t="s">
        <v>42</v>
      </c>
      <c r="M119" s="13">
        <f t="shared" si="5"/>
        <v>26547</v>
      </c>
      <c r="N119" s="13">
        <f t="shared" si="4"/>
        <v>-66</v>
      </c>
      <c r="Q119" s="13"/>
    </row>
    <row r="120">
      <c r="A120" s="11">
        <v>112.0</v>
      </c>
      <c r="B120" s="12">
        <v>45345.0</v>
      </c>
      <c r="C120" s="12">
        <v>45348.0</v>
      </c>
      <c r="D120" s="11">
        <v>3737.0</v>
      </c>
      <c r="E120" s="11">
        <v>3655.0</v>
      </c>
      <c r="F120" s="13">
        <f t="shared" si="1"/>
        <v>3901</v>
      </c>
      <c r="G120" s="11">
        <v>3655.0</v>
      </c>
      <c r="H120" s="11">
        <v>3655.0</v>
      </c>
      <c r="I120" s="13">
        <f t="shared" si="2"/>
        <v>82</v>
      </c>
      <c r="J120" s="11">
        <v>6.0</v>
      </c>
      <c r="K120" s="13">
        <f t="shared" si="3"/>
        <v>-492</v>
      </c>
      <c r="L120" s="11" t="s">
        <v>42</v>
      </c>
      <c r="M120" s="13">
        <f t="shared" si="5"/>
        <v>26055</v>
      </c>
      <c r="N120" s="13">
        <f t="shared" si="4"/>
        <v>-82</v>
      </c>
      <c r="Q120" s="13"/>
    </row>
    <row r="121">
      <c r="A121" s="11">
        <v>113.0</v>
      </c>
      <c r="B121" s="12">
        <v>45349.0</v>
      </c>
      <c r="C121" s="12">
        <v>45350.0</v>
      </c>
      <c r="D121" s="11">
        <v>3675.0</v>
      </c>
      <c r="E121" s="11">
        <v>3621.0</v>
      </c>
      <c r="F121" s="13">
        <f t="shared" si="1"/>
        <v>3783</v>
      </c>
      <c r="G121" s="11">
        <v>3621.0</v>
      </c>
      <c r="H121" s="11">
        <v>3621.0</v>
      </c>
      <c r="I121" s="13">
        <f t="shared" si="2"/>
        <v>54</v>
      </c>
      <c r="J121" s="11">
        <v>9.0</v>
      </c>
      <c r="K121" s="13">
        <f t="shared" si="3"/>
        <v>-486</v>
      </c>
      <c r="L121" s="11" t="s">
        <v>42</v>
      </c>
      <c r="M121" s="13">
        <f t="shared" si="5"/>
        <v>25569</v>
      </c>
      <c r="N121" s="13">
        <f t="shared" si="4"/>
        <v>-54</v>
      </c>
      <c r="Q121" s="13"/>
    </row>
    <row r="122">
      <c r="A122" s="11">
        <v>114.0</v>
      </c>
      <c r="B122" s="12">
        <v>45352.0</v>
      </c>
      <c r="C122" s="12">
        <v>45364.0</v>
      </c>
      <c r="D122" s="11">
        <v>3774.0</v>
      </c>
      <c r="E122" s="11">
        <v>3626.0</v>
      </c>
      <c r="F122" s="13">
        <f t="shared" si="1"/>
        <v>4070</v>
      </c>
      <c r="G122" s="11">
        <v>3626.0</v>
      </c>
      <c r="H122" s="11">
        <v>3626.0</v>
      </c>
      <c r="I122" s="13">
        <f t="shared" si="2"/>
        <v>148</v>
      </c>
      <c r="J122" s="11">
        <v>3.0</v>
      </c>
      <c r="K122" s="13">
        <f t="shared" si="3"/>
        <v>-444</v>
      </c>
      <c r="L122" s="11" t="s">
        <v>42</v>
      </c>
      <c r="M122" s="13">
        <f t="shared" si="5"/>
        <v>25125</v>
      </c>
      <c r="N122" s="13">
        <f t="shared" si="4"/>
        <v>-148</v>
      </c>
      <c r="Q122" s="13"/>
    </row>
    <row r="123">
      <c r="A123" s="11">
        <v>115.0</v>
      </c>
      <c r="B123" s="12">
        <v>45373.0</v>
      </c>
      <c r="C123" s="12">
        <v>45391.0</v>
      </c>
      <c r="D123" s="11">
        <v>3727.0</v>
      </c>
      <c r="E123" s="11">
        <v>3621.0</v>
      </c>
      <c r="F123" s="13">
        <f t="shared" si="1"/>
        <v>3939</v>
      </c>
      <c r="G123" s="11">
        <v>3679.0</v>
      </c>
      <c r="H123" s="11">
        <v>3679.0</v>
      </c>
      <c r="I123" s="13">
        <f t="shared" si="2"/>
        <v>106</v>
      </c>
      <c r="J123" s="11">
        <v>4.0</v>
      </c>
      <c r="K123" s="13">
        <f t="shared" si="3"/>
        <v>-192</v>
      </c>
      <c r="L123" s="11" t="s">
        <v>42</v>
      </c>
      <c r="M123" s="13">
        <f t="shared" si="5"/>
        <v>24933</v>
      </c>
      <c r="N123" s="13">
        <f t="shared" si="4"/>
        <v>-48</v>
      </c>
      <c r="Q123" s="13"/>
    </row>
    <row r="124">
      <c r="A124" s="11">
        <v>116.0</v>
      </c>
      <c r="B124" s="12">
        <v>45453.0</v>
      </c>
      <c r="C124" s="12">
        <v>45455.0</v>
      </c>
      <c r="D124" s="11">
        <v>3452.0</v>
      </c>
      <c r="E124" s="11">
        <v>3390.0</v>
      </c>
      <c r="F124" s="13">
        <f t="shared" si="1"/>
        <v>3576</v>
      </c>
      <c r="G124" s="11">
        <v>3390.0</v>
      </c>
      <c r="H124" s="11">
        <v>3390.0</v>
      </c>
      <c r="I124" s="13">
        <f t="shared" si="2"/>
        <v>62</v>
      </c>
      <c r="J124" s="11">
        <v>8.0</v>
      </c>
      <c r="K124" s="13">
        <f t="shared" si="3"/>
        <v>-496</v>
      </c>
      <c r="L124" s="11" t="s">
        <v>42</v>
      </c>
      <c r="M124" s="13">
        <f t="shared" si="5"/>
        <v>24437</v>
      </c>
      <c r="N124" s="13">
        <f t="shared" si="4"/>
        <v>-62</v>
      </c>
      <c r="Q124" s="13"/>
    </row>
    <row r="125">
      <c r="A125" s="11">
        <v>117.0</v>
      </c>
      <c r="B125" s="12">
        <v>45456.0</v>
      </c>
      <c r="C125" s="12">
        <v>45463.0</v>
      </c>
      <c r="D125" s="11">
        <v>3477.0</v>
      </c>
      <c r="E125" s="11">
        <v>3390.0</v>
      </c>
      <c r="F125" s="13">
        <f t="shared" si="1"/>
        <v>3651</v>
      </c>
      <c r="G125" s="11">
        <v>3436.0</v>
      </c>
      <c r="H125" s="11">
        <v>3436.0</v>
      </c>
      <c r="I125" s="13">
        <f t="shared" si="2"/>
        <v>87</v>
      </c>
      <c r="J125" s="11">
        <v>5.0</v>
      </c>
      <c r="K125" s="13">
        <f t="shared" si="3"/>
        <v>-205</v>
      </c>
      <c r="L125" s="11" t="s">
        <v>42</v>
      </c>
      <c r="M125" s="13">
        <f t="shared" si="5"/>
        <v>24232</v>
      </c>
      <c r="N125" s="13">
        <f t="shared" si="4"/>
        <v>-41</v>
      </c>
      <c r="Q125" s="13"/>
    </row>
    <row r="126">
      <c r="A126" s="11">
        <v>118.0</v>
      </c>
      <c r="B126" s="12">
        <v>45496.0</v>
      </c>
      <c r="C126" s="12">
        <v>45509.0</v>
      </c>
      <c r="D126" s="11">
        <v>3490.0</v>
      </c>
      <c r="E126" s="11">
        <v>3232.0</v>
      </c>
      <c r="F126" s="13">
        <f t="shared" si="1"/>
        <v>4006</v>
      </c>
      <c r="G126" s="11">
        <v>3376.0</v>
      </c>
      <c r="H126" s="11">
        <v>3376.0</v>
      </c>
      <c r="I126" s="13">
        <f t="shared" si="2"/>
        <v>258</v>
      </c>
      <c r="J126" s="11">
        <v>1.0</v>
      </c>
      <c r="K126" s="13">
        <f t="shared" si="3"/>
        <v>-114</v>
      </c>
      <c r="L126" s="11" t="s">
        <v>42</v>
      </c>
      <c r="M126" s="13">
        <f t="shared" si="5"/>
        <v>24118</v>
      </c>
      <c r="N126" s="13">
        <f t="shared" si="4"/>
        <v>-114</v>
      </c>
      <c r="Q126" s="13"/>
    </row>
    <row r="127">
      <c r="A127" s="11">
        <v>119.0</v>
      </c>
      <c r="B127" s="12">
        <v>45517.0</v>
      </c>
      <c r="C127" s="12">
        <v>45568.0</v>
      </c>
      <c r="D127" s="11">
        <v>3404.0</v>
      </c>
      <c r="E127" s="11">
        <v>3305.0</v>
      </c>
      <c r="F127" s="13">
        <f t="shared" si="1"/>
        <v>3602</v>
      </c>
      <c r="G127" s="11">
        <v>3602.0</v>
      </c>
      <c r="H127" s="11">
        <v>3675.0</v>
      </c>
      <c r="I127" s="13">
        <f t="shared" si="2"/>
        <v>99</v>
      </c>
      <c r="J127" s="11">
        <v>5.0</v>
      </c>
      <c r="K127" s="13">
        <f t="shared" si="3"/>
        <v>1172.5</v>
      </c>
      <c r="L127" s="11" t="s">
        <v>40</v>
      </c>
      <c r="M127" s="13">
        <f t="shared" si="5"/>
        <v>25290.5</v>
      </c>
      <c r="N127" s="13">
        <f t="shared" si="4"/>
        <v>234.5</v>
      </c>
      <c r="Q127" s="13"/>
    </row>
    <row r="128">
      <c r="A128" s="11">
        <v>120.0</v>
      </c>
      <c r="B128" s="12">
        <v>45659.0</v>
      </c>
      <c r="C128" s="12">
        <v>45670.0</v>
      </c>
      <c r="D128" s="11">
        <v>3401.0</v>
      </c>
      <c r="E128" s="11">
        <v>3251.0</v>
      </c>
      <c r="F128" s="13">
        <f t="shared" si="1"/>
        <v>3701</v>
      </c>
      <c r="G128" s="11">
        <v>3382.0</v>
      </c>
      <c r="H128" s="11">
        <v>3382.0</v>
      </c>
      <c r="I128" s="13">
        <f t="shared" si="2"/>
        <v>150</v>
      </c>
      <c r="J128" s="11">
        <v>3.0</v>
      </c>
      <c r="K128" s="13">
        <f t="shared" si="3"/>
        <v>-57</v>
      </c>
      <c r="L128" s="11" t="s">
        <v>42</v>
      </c>
      <c r="M128" s="13">
        <f t="shared" si="5"/>
        <v>25233.5</v>
      </c>
      <c r="N128" s="13">
        <f t="shared" si="4"/>
        <v>-19</v>
      </c>
      <c r="Q128" s="13"/>
    </row>
    <row r="129">
      <c r="A129" s="11">
        <v>121.0</v>
      </c>
      <c r="B129" s="12">
        <v>45686.0</v>
      </c>
      <c r="C129" s="12">
        <v>45687.0</v>
      </c>
      <c r="D129" s="11">
        <v>3375.0</v>
      </c>
      <c r="E129" s="11">
        <v>3309.0</v>
      </c>
      <c r="F129" s="13">
        <f t="shared" si="1"/>
        <v>3507</v>
      </c>
      <c r="G129" s="11">
        <v>3368.0</v>
      </c>
      <c r="H129" s="11">
        <v>3368.0</v>
      </c>
      <c r="I129" s="13">
        <f t="shared" si="2"/>
        <v>66</v>
      </c>
      <c r="J129" s="11">
        <v>7.0</v>
      </c>
      <c r="K129" s="13">
        <f t="shared" si="3"/>
        <v>-49</v>
      </c>
      <c r="L129" s="11" t="s">
        <v>42</v>
      </c>
      <c r="M129" s="13">
        <f t="shared" si="5"/>
        <v>25184.5</v>
      </c>
      <c r="N129" s="13">
        <f t="shared" si="4"/>
        <v>-7</v>
      </c>
      <c r="Q129" s="13"/>
    </row>
    <row r="130">
      <c r="A130" s="11">
        <v>122.0</v>
      </c>
      <c r="B130" s="12">
        <v>45688.0</v>
      </c>
      <c r="C130" s="12">
        <v>45694.0</v>
      </c>
      <c r="D130" s="11">
        <v>3527.0</v>
      </c>
      <c r="E130" s="11">
        <v>3392.0</v>
      </c>
      <c r="F130" s="13">
        <f t="shared" si="1"/>
        <v>3797</v>
      </c>
      <c r="G130" s="11">
        <v>3410.0</v>
      </c>
      <c r="H130" s="11">
        <v>3410.0</v>
      </c>
      <c r="I130" s="13">
        <f t="shared" si="2"/>
        <v>135</v>
      </c>
      <c r="J130" s="11">
        <v>3.0</v>
      </c>
      <c r="K130" s="13">
        <f t="shared" si="3"/>
        <v>-351</v>
      </c>
      <c r="L130" s="11" t="s">
        <v>42</v>
      </c>
      <c r="M130" s="13">
        <f t="shared" si="5"/>
        <v>24833.5</v>
      </c>
      <c r="N130" s="13">
        <f t="shared" si="4"/>
        <v>-117</v>
      </c>
      <c r="Q130" s="13"/>
    </row>
    <row r="131">
      <c r="A131" s="11">
        <v>123.0</v>
      </c>
      <c r="B131" s="12">
        <v>45762.0</v>
      </c>
      <c r="C131" s="12">
        <v>45764.0</v>
      </c>
      <c r="D131" s="11">
        <v>3285.0</v>
      </c>
      <c r="E131" s="11">
        <v>3245.0</v>
      </c>
      <c r="F131" s="13">
        <f t="shared" si="1"/>
        <v>3365</v>
      </c>
      <c r="G131" s="11">
        <v>3245.0</v>
      </c>
      <c r="H131" s="11">
        <v>3245.0</v>
      </c>
      <c r="I131" s="13">
        <f t="shared" si="2"/>
        <v>40</v>
      </c>
      <c r="J131" s="11">
        <v>12.0</v>
      </c>
      <c r="K131" s="13">
        <f t="shared" si="3"/>
        <v>-480</v>
      </c>
      <c r="L131" s="11" t="s">
        <v>42</v>
      </c>
      <c r="M131" s="13">
        <f t="shared" si="5"/>
        <v>24353.5</v>
      </c>
      <c r="N131" s="13">
        <f t="shared" si="4"/>
        <v>-40</v>
      </c>
      <c r="Q131" s="13"/>
    </row>
    <row r="132">
      <c r="A132" s="11">
        <v>124.0</v>
      </c>
      <c r="B132" s="12">
        <v>45768.0</v>
      </c>
      <c r="C132" s="15">
        <v>45783.0</v>
      </c>
      <c r="D132" s="11">
        <v>3353.0</v>
      </c>
      <c r="E132" s="11">
        <v>3290.0</v>
      </c>
      <c r="F132" s="13">
        <f t="shared" si="1"/>
        <v>3479</v>
      </c>
      <c r="G132" s="11">
        <v>3299.0</v>
      </c>
      <c r="H132" s="11">
        <v>3299.0</v>
      </c>
      <c r="I132" s="13">
        <f t="shared" si="2"/>
        <v>63</v>
      </c>
      <c r="J132" s="11">
        <v>7.0</v>
      </c>
      <c r="K132" s="13">
        <f t="shared" si="3"/>
        <v>-378</v>
      </c>
      <c r="L132" s="11" t="s">
        <v>42</v>
      </c>
      <c r="M132" s="13">
        <f t="shared" si="5"/>
        <v>23975.5</v>
      </c>
      <c r="N132" s="13">
        <f t="shared" si="4"/>
        <v>-54</v>
      </c>
      <c r="Q132" s="13"/>
    </row>
    <row r="133">
      <c r="A133" s="11">
        <v>125.0</v>
      </c>
      <c r="B133" s="15">
        <v>45784.0</v>
      </c>
      <c r="C133" s="12">
        <v>45811.0</v>
      </c>
      <c r="D133" s="11">
        <v>3381.0</v>
      </c>
      <c r="E133" s="11">
        <v>3260.0</v>
      </c>
      <c r="F133" s="13">
        <f t="shared" si="1"/>
        <v>3623</v>
      </c>
      <c r="G133" s="11">
        <v>3623.0</v>
      </c>
      <c r="H133" s="11">
        <v>3519.0</v>
      </c>
      <c r="I133" s="13">
        <f t="shared" si="2"/>
        <v>121</v>
      </c>
      <c r="J133" s="11">
        <v>4.0</v>
      </c>
      <c r="K133" s="13">
        <f t="shared" si="3"/>
        <v>760</v>
      </c>
      <c r="L133" s="11" t="s">
        <v>40</v>
      </c>
      <c r="M133" s="13">
        <f t="shared" si="5"/>
        <v>24735.5</v>
      </c>
      <c r="N133" s="13">
        <f t="shared" si="4"/>
        <v>190</v>
      </c>
      <c r="Q133" s="13"/>
    </row>
    <row r="134">
      <c r="A134" s="11">
        <v>126.0</v>
      </c>
      <c r="B134" s="12">
        <v>45814.0</v>
      </c>
      <c r="C134" s="12">
        <v>45818.0</v>
      </c>
      <c r="D134" s="11">
        <v>3571.0</v>
      </c>
      <c r="E134" s="11">
        <v>3486.0</v>
      </c>
      <c r="F134" s="13">
        <f t="shared" si="1"/>
        <v>3741</v>
      </c>
      <c r="G134" s="11">
        <v>3524.0</v>
      </c>
      <c r="H134" s="11">
        <v>3524.0</v>
      </c>
      <c r="I134" s="13">
        <f t="shared" si="2"/>
        <v>85</v>
      </c>
      <c r="J134" s="11">
        <v>5.0</v>
      </c>
      <c r="K134" s="13">
        <f t="shared" si="3"/>
        <v>-235</v>
      </c>
      <c r="L134" s="11" t="s">
        <v>42</v>
      </c>
      <c r="M134" s="13">
        <f t="shared" si="5"/>
        <v>24500.5</v>
      </c>
      <c r="N134" s="13">
        <f t="shared" si="4"/>
        <v>-47</v>
      </c>
      <c r="Q134" s="13"/>
    </row>
    <row r="135">
      <c r="A135" s="11">
        <v>127.0</v>
      </c>
      <c r="B135" s="12">
        <v>45827.0</v>
      </c>
      <c r="C135" s="12">
        <v>45846.0</v>
      </c>
      <c r="D135" s="11">
        <v>3522.0</v>
      </c>
      <c r="E135" s="11">
        <v>3467.0</v>
      </c>
      <c r="F135" s="13">
        <f t="shared" si="1"/>
        <v>3632</v>
      </c>
      <c r="G135" s="11">
        <v>3632.0</v>
      </c>
      <c r="H135" s="11">
        <v>3467.0</v>
      </c>
      <c r="I135" s="13">
        <f t="shared" si="2"/>
        <v>55</v>
      </c>
      <c r="J135" s="11">
        <v>9.0</v>
      </c>
      <c r="K135" s="13">
        <f t="shared" si="3"/>
        <v>247.5</v>
      </c>
      <c r="L135" s="11" t="s">
        <v>40</v>
      </c>
      <c r="M135" s="13">
        <f t="shared" si="5"/>
        <v>24748</v>
      </c>
      <c r="N135" s="13">
        <f t="shared" si="4"/>
        <v>27.5</v>
      </c>
      <c r="Q135" s="13"/>
    </row>
    <row r="136">
      <c r="A136" s="11">
        <v>128.0</v>
      </c>
      <c r="B136" s="12">
        <v>45862.0</v>
      </c>
      <c r="C136" s="12">
        <v>45863.0</v>
      </c>
      <c r="D136" s="11">
        <v>3490.0</v>
      </c>
      <c r="E136" s="11">
        <v>3458.0</v>
      </c>
      <c r="F136" s="13">
        <f t="shared" si="1"/>
        <v>3554</v>
      </c>
      <c r="G136" s="11">
        <v>3458.0</v>
      </c>
      <c r="H136" s="11">
        <v>3458.0</v>
      </c>
      <c r="I136" s="13">
        <f t="shared" si="2"/>
        <v>32</v>
      </c>
      <c r="J136" s="11">
        <v>15.0</v>
      </c>
      <c r="K136" s="13">
        <f t="shared" si="3"/>
        <v>-480</v>
      </c>
      <c r="L136" s="11" t="s">
        <v>42</v>
      </c>
      <c r="M136" s="13">
        <f t="shared" si="5"/>
        <v>24268</v>
      </c>
      <c r="N136" s="13">
        <f t="shared" si="4"/>
        <v>-32</v>
      </c>
      <c r="Q136" s="13"/>
    </row>
    <row r="137">
      <c r="A137" s="11">
        <v>129.0</v>
      </c>
      <c r="B137" s="12">
        <v>45877.0</v>
      </c>
      <c r="C137" s="12">
        <v>45880.0</v>
      </c>
      <c r="D137" s="11">
        <v>3490.0</v>
      </c>
      <c r="E137" s="11">
        <v>3403.0</v>
      </c>
      <c r="F137" s="13">
        <f t="shared" si="1"/>
        <v>3664</v>
      </c>
      <c r="G137" s="11">
        <v>3403.0</v>
      </c>
      <c r="H137" s="11">
        <v>3403.0</v>
      </c>
      <c r="I137" s="13">
        <f t="shared" si="2"/>
        <v>87</v>
      </c>
      <c r="J137" s="11">
        <v>5.0</v>
      </c>
      <c r="K137" s="13">
        <f t="shared" si="3"/>
        <v>-435</v>
      </c>
      <c r="L137" s="11" t="s">
        <v>42</v>
      </c>
      <c r="M137" s="13">
        <f t="shared" si="5"/>
        <v>23833</v>
      </c>
      <c r="N137" s="13">
        <f t="shared" si="4"/>
        <v>-87</v>
      </c>
      <c r="Q137" s="13"/>
    </row>
    <row r="138">
      <c r="A138" s="11">
        <v>130.0</v>
      </c>
      <c r="B138" s="12">
        <v>45881.0</v>
      </c>
      <c r="C138" s="11" t="s">
        <v>114</v>
      </c>
      <c r="D138" s="11">
        <v>3534.0</v>
      </c>
      <c r="E138" s="11">
        <v>3460.0</v>
      </c>
      <c r="F138" s="13">
        <f t="shared" si="1"/>
        <v>3682</v>
      </c>
      <c r="G138" s="11">
        <v>3682.0</v>
      </c>
      <c r="H138" s="11">
        <v>3584.0</v>
      </c>
      <c r="I138" s="13">
        <f t="shared" si="2"/>
        <v>74</v>
      </c>
      <c r="J138" s="11">
        <v>6.0</v>
      </c>
      <c r="K138" s="13">
        <f t="shared" si="3"/>
        <v>594</v>
      </c>
      <c r="L138" s="11" t="s">
        <v>40</v>
      </c>
      <c r="M138" s="13">
        <f t="shared" si="5"/>
        <v>24427</v>
      </c>
      <c r="N138" s="13">
        <f t="shared" si="4"/>
        <v>99</v>
      </c>
      <c r="Q138" s="13"/>
    </row>
    <row r="139">
      <c r="A139" s="11">
        <v>131.0</v>
      </c>
      <c r="B139" s="12">
        <v>45938.0</v>
      </c>
      <c r="C139" s="12">
        <v>45994.0</v>
      </c>
      <c r="D139" s="11">
        <v>3580.0</v>
      </c>
      <c r="E139" s="11">
        <v>3460.0</v>
      </c>
      <c r="F139" s="13">
        <f t="shared" si="1"/>
        <v>3820</v>
      </c>
      <c r="G139" s="11">
        <v>3820.0</v>
      </c>
      <c r="H139" s="11">
        <v>3817.0</v>
      </c>
      <c r="I139" s="13">
        <f t="shared" si="2"/>
        <v>120</v>
      </c>
      <c r="J139" s="11">
        <v>4.0</v>
      </c>
      <c r="K139" s="13">
        <f t="shared" si="3"/>
        <v>954</v>
      </c>
      <c r="L139" s="11" t="s">
        <v>40</v>
      </c>
      <c r="M139" s="13">
        <f t="shared" si="5"/>
        <v>25381</v>
      </c>
      <c r="N139" s="13">
        <f t="shared" si="4"/>
        <v>238.5</v>
      </c>
      <c r="Q139" s="13"/>
    </row>
    <row r="140">
      <c r="A140" s="11">
        <v>132.0</v>
      </c>
      <c r="B140" s="12">
        <v>46000.0</v>
      </c>
      <c r="C140" s="12">
        <v>46042.0</v>
      </c>
      <c r="D140" s="11">
        <v>3874.0</v>
      </c>
      <c r="E140" s="11">
        <v>3751.0</v>
      </c>
      <c r="F140" s="13">
        <f t="shared" si="1"/>
        <v>4120</v>
      </c>
      <c r="G140" s="11">
        <v>4120.0</v>
      </c>
      <c r="H140" s="11">
        <v>4075.0</v>
      </c>
      <c r="I140" s="13">
        <f t="shared" si="2"/>
        <v>123</v>
      </c>
      <c r="J140" s="11">
        <v>4.0</v>
      </c>
      <c r="K140" s="13">
        <f t="shared" si="3"/>
        <v>894</v>
      </c>
      <c r="L140" s="11" t="s">
        <v>40</v>
      </c>
      <c r="M140" s="13">
        <f t="shared" si="5"/>
        <v>26275</v>
      </c>
      <c r="N140" s="13">
        <f t="shared" si="4"/>
        <v>223.5</v>
      </c>
      <c r="Q140" s="13"/>
    </row>
    <row r="141">
      <c r="A141" s="11">
        <v>133.0</v>
      </c>
      <c r="B141" s="12">
        <v>46056.0</v>
      </c>
      <c r="C141" s="12">
        <v>46085.0</v>
      </c>
      <c r="D141" s="11">
        <v>4143.0</v>
      </c>
      <c r="E141" s="11">
        <v>4044.0</v>
      </c>
      <c r="F141" s="13">
        <f t="shared" si="1"/>
        <v>4341</v>
      </c>
      <c r="G141" s="11">
        <v>4341.0</v>
      </c>
      <c r="H141" s="11">
        <v>4204.0</v>
      </c>
      <c r="I141" s="13">
        <f t="shared" si="2"/>
        <v>99</v>
      </c>
      <c r="J141" s="11">
        <v>5.0</v>
      </c>
      <c r="K141" s="13">
        <f t="shared" si="3"/>
        <v>647.5</v>
      </c>
      <c r="L141" s="11" t="s">
        <v>40</v>
      </c>
      <c r="M141" s="13">
        <f t="shared" si="5"/>
        <v>26922.5</v>
      </c>
      <c r="N141" s="13">
        <f t="shared" si="4"/>
        <v>129.5</v>
      </c>
      <c r="Q141" s="13"/>
    </row>
    <row r="142">
      <c r="A142" s="11">
        <v>134.0</v>
      </c>
      <c r="B142" s="12">
        <v>46086.0</v>
      </c>
      <c r="C142" s="12">
        <v>46090.0</v>
      </c>
      <c r="D142" s="11">
        <v>4302.0</v>
      </c>
      <c r="E142" s="11">
        <v>4173.0</v>
      </c>
      <c r="F142" s="13">
        <f t="shared" si="1"/>
        <v>4560</v>
      </c>
      <c r="G142" s="11">
        <v>4173.0</v>
      </c>
      <c r="H142" s="11">
        <v>4173.0</v>
      </c>
      <c r="I142" s="13">
        <f t="shared" si="2"/>
        <v>129</v>
      </c>
      <c r="J142" s="11">
        <v>3.0</v>
      </c>
      <c r="K142" s="13">
        <f t="shared" si="3"/>
        <v>-387</v>
      </c>
      <c r="L142" s="11" t="s">
        <v>42</v>
      </c>
      <c r="M142" s="13">
        <f t="shared" si="5"/>
        <v>26535.5</v>
      </c>
      <c r="N142" s="13">
        <f t="shared" si="4"/>
        <v>-129</v>
      </c>
      <c r="Q142" s="13"/>
    </row>
    <row r="143">
      <c r="A143" s="11">
        <v>135.0</v>
      </c>
      <c r="B143" s="12">
        <v>46114.0</v>
      </c>
      <c r="C143" s="15">
        <v>46146.0</v>
      </c>
      <c r="D143" s="11">
        <v>4109.0</v>
      </c>
      <c r="E143" s="11">
        <v>3944.0</v>
      </c>
      <c r="F143" s="13">
        <f t="shared" si="1"/>
        <v>4439</v>
      </c>
      <c r="G143" s="11">
        <v>4439.0</v>
      </c>
      <c r="H143" s="11">
        <v>4205.0</v>
      </c>
      <c r="I143" s="13">
        <f t="shared" si="2"/>
        <v>165</v>
      </c>
      <c r="J143" s="11">
        <v>3.0</v>
      </c>
      <c r="K143" s="13">
        <f t="shared" si="3"/>
        <v>639</v>
      </c>
      <c r="L143" s="11" t="s">
        <v>40</v>
      </c>
      <c r="M143" s="13">
        <f t="shared" si="5"/>
        <v>27174.5</v>
      </c>
      <c r="N143" s="13">
        <f t="shared" si="4"/>
        <v>213</v>
      </c>
      <c r="Q143" s="13"/>
    </row>
    <row r="144">
      <c r="A144" s="11">
        <v>136.0</v>
      </c>
      <c r="B144" s="15">
        <v>46150.0</v>
      </c>
      <c r="C144" s="15">
        <v>46153.0</v>
      </c>
      <c r="D144" s="11">
        <v>4605.0</v>
      </c>
      <c r="E144" s="11">
        <v>4213.0</v>
      </c>
      <c r="F144" s="13">
        <f t="shared" si="1"/>
        <v>5389</v>
      </c>
      <c r="G144" s="11">
        <v>4213.0</v>
      </c>
      <c r="H144" s="11">
        <v>4213.0</v>
      </c>
      <c r="I144" s="13">
        <f t="shared" si="2"/>
        <v>392</v>
      </c>
      <c r="J144" s="11">
        <v>1.0</v>
      </c>
      <c r="K144" s="13">
        <f t="shared" si="3"/>
        <v>-392</v>
      </c>
      <c r="L144" s="11" t="s">
        <v>42</v>
      </c>
      <c r="M144" s="13">
        <f t="shared" si="5"/>
        <v>26782.5</v>
      </c>
      <c r="N144" s="13">
        <f t="shared" si="4"/>
        <v>-392</v>
      </c>
      <c r="Q144" s="13"/>
    </row>
    <row r="145">
      <c r="A145" s="11">
        <v>137.0</v>
      </c>
      <c r="B145" s="12">
        <v>46177.0</v>
      </c>
      <c r="C145" s="12">
        <v>46182.0</v>
      </c>
      <c r="D145" s="11">
        <v>4274.0</v>
      </c>
      <c r="E145" s="11">
        <v>4052.0</v>
      </c>
      <c r="F145" s="13">
        <f t="shared" si="1"/>
        <v>4718</v>
      </c>
      <c r="G145" s="11">
        <v>4104.0</v>
      </c>
      <c r="H145" s="11">
        <v>4104.0</v>
      </c>
      <c r="I145" s="13">
        <f t="shared" si="2"/>
        <v>222</v>
      </c>
      <c r="J145" s="11">
        <v>2.0</v>
      </c>
      <c r="K145" s="13">
        <f t="shared" si="3"/>
        <v>-340</v>
      </c>
      <c r="L145" s="11" t="s">
        <v>42</v>
      </c>
      <c r="M145" s="13">
        <f t="shared" si="5"/>
        <v>26442.5</v>
      </c>
      <c r="N145" s="13">
        <f t="shared" si="4"/>
        <v>-170</v>
      </c>
      <c r="Q145" s="13"/>
    </row>
    <row r="146">
      <c r="A146" s="11" t="s">
        <v>115</v>
      </c>
      <c r="B146" s="12">
        <v>46188.0</v>
      </c>
      <c r="C146" s="12">
        <v>46262.0</v>
      </c>
      <c r="D146" s="11">
        <v>4297.0</v>
      </c>
      <c r="E146" s="11">
        <v>4220.0</v>
      </c>
      <c r="F146" s="13">
        <f t="shared" si="1"/>
        <v>4451</v>
      </c>
      <c r="G146" s="11">
        <v>4451.0</v>
      </c>
      <c r="H146" s="11">
        <v>5169.0</v>
      </c>
      <c r="I146" s="13">
        <f t="shared" si="2"/>
        <v>77</v>
      </c>
      <c r="J146" s="11">
        <v>6.0</v>
      </c>
      <c r="K146" s="13">
        <f t="shared" si="3"/>
        <v>3078</v>
      </c>
      <c r="L146" s="11" t="s">
        <v>40</v>
      </c>
      <c r="M146" s="13">
        <f t="shared" si="5"/>
        <v>29520.5</v>
      </c>
      <c r="N146" s="13">
        <f t="shared" si="4"/>
        <v>513</v>
      </c>
      <c r="Q146" s="13"/>
    </row>
    <row r="147">
      <c r="M147" s="13"/>
      <c r="N147" s="13"/>
    </row>
    <row r="151">
      <c r="C151" s="41"/>
      <c r="D151" s="42" t="s">
        <v>116</v>
      </c>
      <c r="E151" s="43"/>
      <c r="F151" s="11" t="s">
        <v>97</v>
      </c>
      <c r="G151" s="46">
        <v>1240.97</v>
      </c>
      <c r="H151" s="11" t="s">
        <v>98</v>
      </c>
      <c r="I151" s="11">
        <v>13.2</v>
      </c>
    </row>
    <row r="152">
      <c r="C152" s="41"/>
      <c r="D152" s="42" t="s">
        <v>117</v>
      </c>
      <c r="E152" s="43"/>
      <c r="F152" s="11" t="s">
        <v>100</v>
      </c>
      <c r="G152" s="11">
        <v>364.73</v>
      </c>
      <c r="H152" s="11" t="s">
        <v>67</v>
      </c>
      <c r="I152" s="11">
        <v>4063.0</v>
      </c>
    </row>
    <row r="153">
      <c r="C153" s="41"/>
      <c r="D153" s="42" t="s">
        <v>118</v>
      </c>
      <c r="E153" s="42"/>
      <c r="F153" s="11" t="s">
        <v>60</v>
      </c>
      <c r="G153" s="11">
        <v>29520.5</v>
      </c>
      <c r="H153" s="11" t="s">
        <v>102</v>
      </c>
      <c r="I153" s="11">
        <v>1821.0</v>
      </c>
    </row>
    <row r="154">
      <c r="C154" s="11" t="s">
        <v>119</v>
      </c>
      <c r="D154" s="11">
        <f>(50*G151)-(88*G152)</f>
        <v>29952.26</v>
      </c>
      <c r="E154" s="13"/>
      <c r="F154" s="11" t="s">
        <v>61</v>
      </c>
      <c r="G154" s="11">
        <v>1821.0</v>
      </c>
      <c r="H154" s="11" t="s">
        <v>104</v>
      </c>
      <c r="I154" s="11">
        <v>44.82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8" max="8" width="17.13"/>
    <col customWidth="1" min="12" max="12" width="16.88"/>
    <col customWidth="1" min="13" max="13" width="19.5"/>
  </cols>
  <sheetData>
    <row r="1">
      <c r="A1" s="20"/>
      <c r="B1" s="19" t="s">
        <v>78</v>
      </c>
      <c r="C1" s="19" t="s">
        <v>79</v>
      </c>
      <c r="D1" s="20"/>
      <c r="E1" s="20"/>
      <c r="F1" s="20"/>
      <c r="G1" s="20"/>
      <c r="H1" s="20"/>
      <c r="I1" s="20"/>
    </row>
    <row r="2">
      <c r="A2" s="20"/>
      <c r="B2" s="20"/>
      <c r="C2" s="19" t="s">
        <v>81</v>
      </c>
      <c r="D2" s="20"/>
      <c r="E2" s="20"/>
      <c r="F2" s="20"/>
      <c r="G2" s="20"/>
      <c r="H2" s="20"/>
      <c r="I2" s="20"/>
    </row>
    <row r="3">
      <c r="A3" s="20"/>
      <c r="B3" s="20"/>
      <c r="C3" s="19" t="s">
        <v>82</v>
      </c>
      <c r="D3" s="20"/>
      <c r="E3" s="20"/>
      <c r="F3" s="20"/>
      <c r="G3" s="20"/>
      <c r="H3" s="20"/>
      <c r="I3" s="20"/>
    </row>
    <row r="4">
      <c r="A4" s="20"/>
      <c r="B4" s="20"/>
      <c r="C4" s="19" t="s">
        <v>83</v>
      </c>
      <c r="D4" s="20"/>
      <c r="E4" s="20"/>
      <c r="F4" s="20"/>
      <c r="G4" s="20"/>
      <c r="H4" s="20"/>
      <c r="I4" s="20"/>
    </row>
    <row r="5">
      <c r="B5" s="16"/>
      <c r="C5" s="17" t="s">
        <v>84</v>
      </c>
      <c r="D5" s="16"/>
      <c r="E5" s="16"/>
      <c r="F5" s="16"/>
      <c r="G5" s="16"/>
      <c r="H5" s="16"/>
    </row>
    <row r="6">
      <c r="B6" s="16"/>
      <c r="C6" s="17" t="s">
        <v>85</v>
      </c>
      <c r="D6" s="16"/>
      <c r="E6" s="16"/>
      <c r="F6" s="16"/>
    </row>
    <row r="8">
      <c r="A8" s="19" t="s">
        <v>6</v>
      </c>
      <c r="B8" s="19" t="s">
        <v>29</v>
      </c>
      <c r="C8" s="19" t="s">
        <v>30</v>
      </c>
      <c r="D8" s="19" t="s">
        <v>9</v>
      </c>
      <c r="E8" s="19" t="s">
        <v>10</v>
      </c>
      <c r="F8" s="19" t="s">
        <v>11</v>
      </c>
      <c r="G8" s="19" t="s">
        <v>86</v>
      </c>
      <c r="H8" s="19" t="s">
        <v>87</v>
      </c>
      <c r="I8" s="19" t="s">
        <v>12</v>
      </c>
      <c r="J8" s="19" t="s">
        <v>13</v>
      </c>
      <c r="K8" s="19" t="s">
        <v>14</v>
      </c>
      <c r="L8" s="19" t="s">
        <v>33</v>
      </c>
      <c r="M8" s="19" t="s">
        <v>34</v>
      </c>
      <c r="N8" s="19" t="s">
        <v>16</v>
      </c>
    </row>
    <row r="9">
      <c r="A9" s="35">
        <v>1.0</v>
      </c>
      <c r="B9" s="36">
        <v>46069.0</v>
      </c>
      <c r="C9" s="36">
        <v>46085.0</v>
      </c>
      <c r="D9" s="37">
        <v>4196.0</v>
      </c>
      <c r="E9" s="35">
        <v>4150.0</v>
      </c>
      <c r="F9" s="35">
        <v>4350.0</v>
      </c>
      <c r="G9" s="35">
        <v>4350.0</v>
      </c>
      <c r="H9" s="35">
        <v>4235.0</v>
      </c>
      <c r="I9" s="38">
        <f t="shared" ref="I9:I48" si="1">(D9-E9)</f>
        <v>46</v>
      </c>
      <c r="J9" s="35">
        <v>10.0</v>
      </c>
      <c r="K9" s="38">
        <f>((G9-D9)*J9/2+(H9-D9)*J9/2)</f>
        <v>965</v>
      </c>
      <c r="L9" s="35" t="s">
        <v>40</v>
      </c>
      <c r="M9" s="38">
        <f>(K9)</f>
        <v>965</v>
      </c>
      <c r="N9" s="38">
        <f t="shared" ref="N9:N48" si="2">(K9/J9)</f>
        <v>96.5</v>
      </c>
      <c r="P9" s="14">
        <v>965.0</v>
      </c>
    </row>
    <row r="10" hidden="1">
      <c r="A10" s="35">
        <v>2.0</v>
      </c>
      <c r="B10" s="36">
        <v>45938.0</v>
      </c>
      <c r="C10" s="36">
        <v>45994.0</v>
      </c>
      <c r="D10" s="39">
        <v>3580.0</v>
      </c>
      <c r="E10" s="35">
        <v>3510.0</v>
      </c>
      <c r="F10" s="38">
        <f>(((D10-E10)*2+D10))</f>
        <v>3720</v>
      </c>
      <c r="G10" s="35">
        <v>3720.0</v>
      </c>
      <c r="H10" s="35">
        <v>3867.0</v>
      </c>
      <c r="I10" s="38">
        <f t="shared" si="1"/>
        <v>70</v>
      </c>
      <c r="J10" s="35">
        <v>7.0</v>
      </c>
      <c r="K10" s="38">
        <f t="shared" ref="K10:K48" si="3">(G10-D10)*J10/2+(H10-D10)*J10/2</f>
        <v>1494.5</v>
      </c>
      <c r="L10" s="35" t="s">
        <v>40</v>
      </c>
      <c r="M10" s="38">
        <f t="shared" ref="M10:M48" si="4">(M9+K10)</f>
        <v>2459.5</v>
      </c>
      <c r="N10" s="38">
        <f t="shared" si="2"/>
        <v>213.5</v>
      </c>
    </row>
    <row r="11" hidden="1">
      <c r="A11" s="35">
        <v>3.0</v>
      </c>
      <c r="B11" s="36">
        <v>45736.0</v>
      </c>
      <c r="C11" s="36">
        <v>45740.0</v>
      </c>
      <c r="D11" s="39">
        <v>3205.0</v>
      </c>
      <c r="E11" s="35">
        <v>3060.0</v>
      </c>
      <c r="F11" s="35">
        <v>3240.0</v>
      </c>
      <c r="G11" s="35">
        <v>3060.0</v>
      </c>
      <c r="H11" s="35">
        <v>3060.0</v>
      </c>
      <c r="I11" s="38">
        <f t="shared" si="1"/>
        <v>145</v>
      </c>
      <c r="J11" s="35">
        <v>3.0</v>
      </c>
      <c r="K11" s="38">
        <f t="shared" si="3"/>
        <v>-435</v>
      </c>
      <c r="L11" s="35" t="s">
        <v>42</v>
      </c>
      <c r="M11" s="38">
        <f t="shared" si="4"/>
        <v>2024.5</v>
      </c>
      <c r="N11" s="38">
        <f t="shared" si="2"/>
        <v>-145</v>
      </c>
    </row>
    <row r="12" hidden="1">
      <c r="A12" s="35">
        <v>4.0</v>
      </c>
      <c r="B12" s="36">
        <v>45618.0</v>
      </c>
      <c r="C12" s="36">
        <v>45624.0</v>
      </c>
      <c r="D12" s="39">
        <v>3317.0</v>
      </c>
      <c r="E12" s="35">
        <v>3170.0</v>
      </c>
      <c r="F12" s="35">
        <v>3420.0</v>
      </c>
      <c r="G12" s="35">
        <v>3210.0</v>
      </c>
      <c r="H12" s="35">
        <v>3210.0</v>
      </c>
      <c r="I12" s="38">
        <f t="shared" si="1"/>
        <v>147</v>
      </c>
      <c r="J12" s="35">
        <v>3.0</v>
      </c>
      <c r="K12" s="38">
        <f t="shared" si="3"/>
        <v>-321</v>
      </c>
      <c r="L12" s="35" t="s">
        <v>42</v>
      </c>
      <c r="M12" s="38">
        <f t="shared" si="4"/>
        <v>1703.5</v>
      </c>
      <c r="N12" s="38">
        <f t="shared" si="2"/>
        <v>-107</v>
      </c>
    </row>
    <row r="13" hidden="1">
      <c r="A13" s="35">
        <v>5.0</v>
      </c>
      <c r="B13" s="36">
        <v>45628.0</v>
      </c>
      <c r="C13" s="36">
        <v>45650.0</v>
      </c>
      <c r="D13" s="39">
        <v>3310.0</v>
      </c>
      <c r="E13" s="35">
        <v>3250.0</v>
      </c>
      <c r="F13" s="35">
        <v>3490.0</v>
      </c>
      <c r="G13" s="35">
        <v>3490.0</v>
      </c>
      <c r="H13" s="35">
        <v>3336.0</v>
      </c>
      <c r="I13" s="38">
        <f t="shared" si="1"/>
        <v>60</v>
      </c>
      <c r="J13" s="35">
        <v>8.0</v>
      </c>
      <c r="K13" s="38">
        <f t="shared" si="3"/>
        <v>824</v>
      </c>
      <c r="L13" s="35" t="s">
        <v>40</v>
      </c>
      <c r="M13" s="38">
        <f t="shared" si="4"/>
        <v>2527.5</v>
      </c>
      <c r="N13" s="38">
        <f t="shared" si="2"/>
        <v>103</v>
      </c>
    </row>
    <row r="14">
      <c r="A14" s="35">
        <v>6.0</v>
      </c>
      <c r="B14" s="35" t="s">
        <v>89</v>
      </c>
      <c r="C14" s="36">
        <v>45568.0</v>
      </c>
      <c r="D14" s="37">
        <v>3777.0</v>
      </c>
      <c r="E14" s="35">
        <v>3710.0</v>
      </c>
      <c r="F14" s="35">
        <v>3835.0</v>
      </c>
      <c r="G14" s="35">
        <v>3835.0</v>
      </c>
      <c r="H14" s="35">
        <v>3757.0</v>
      </c>
      <c r="I14" s="38">
        <f t="shared" si="1"/>
        <v>67</v>
      </c>
      <c r="J14" s="35">
        <v>7.0</v>
      </c>
      <c r="K14" s="38">
        <f t="shared" si="3"/>
        <v>133</v>
      </c>
      <c r="L14" s="35" t="s">
        <v>40</v>
      </c>
      <c r="M14" s="38">
        <f t="shared" si="4"/>
        <v>2660.5</v>
      </c>
      <c r="N14" s="38">
        <f t="shared" si="2"/>
        <v>19</v>
      </c>
      <c r="P14" s="14">
        <v>133.0</v>
      </c>
    </row>
    <row r="15" hidden="1">
      <c r="A15" s="35">
        <v>7.0</v>
      </c>
      <c r="B15" s="36">
        <v>45450.0</v>
      </c>
      <c r="C15" s="36">
        <v>45464.0</v>
      </c>
      <c r="D15" s="39">
        <v>3456.0</v>
      </c>
      <c r="E15" s="35">
        <v>3315.0</v>
      </c>
      <c r="F15" s="35">
        <v>3610.0</v>
      </c>
      <c r="G15" s="35">
        <v>3610.0</v>
      </c>
      <c r="H15" s="35">
        <v>3399.0</v>
      </c>
      <c r="I15" s="38">
        <f t="shared" si="1"/>
        <v>141</v>
      </c>
      <c r="J15" s="35">
        <v>3.0</v>
      </c>
      <c r="K15" s="38">
        <f t="shared" si="3"/>
        <v>145.5</v>
      </c>
      <c r="L15" s="35" t="s">
        <v>40</v>
      </c>
      <c r="M15" s="38">
        <f t="shared" si="4"/>
        <v>2806</v>
      </c>
      <c r="N15" s="38">
        <f t="shared" si="2"/>
        <v>48.5</v>
      </c>
    </row>
    <row r="16" hidden="1">
      <c r="A16" s="35">
        <v>8.0</v>
      </c>
      <c r="B16" s="40">
        <v>45435.0</v>
      </c>
      <c r="C16" s="40">
        <v>45439.0</v>
      </c>
      <c r="D16" s="39">
        <v>3460.0</v>
      </c>
      <c r="E16" s="35">
        <v>3350.0</v>
      </c>
      <c r="F16" s="35">
        <v>3600.0</v>
      </c>
      <c r="G16" s="35">
        <v>3403.0</v>
      </c>
      <c r="H16" s="35">
        <v>3403.0</v>
      </c>
      <c r="I16" s="38">
        <f t="shared" si="1"/>
        <v>110</v>
      </c>
      <c r="J16" s="35">
        <v>4.0</v>
      </c>
      <c r="K16" s="38">
        <f t="shared" si="3"/>
        <v>-228</v>
      </c>
      <c r="L16" s="35" t="s">
        <v>42</v>
      </c>
      <c r="M16" s="38">
        <f t="shared" si="4"/>
        <v>2578</v>
      </c>
      <c r="N16" s="38">
        <f t="shared" si="2"/>
        <v>-57</v>
      </c>
    </row>
    <row r="17">
      <c r="A17" s="35">
        <v>9.0</v>
      </c>
      <c r="B17" s="36">
        <v>45281.0</v>
      </c>
      <c r="C17" s="36">
        <v>45321.0</v>
      </c>
      <c r="D17" s="37">
        <v>3599.0</v>
      </c>
      <c r="E17" s="35">
        <v>3535.0</v>
      </c>
      <c r="F17" s="35">
        <v>3780.0</v>
      </c>
      <c r="G17" s="35">
        <v>3780.0</v>
      </c>
      <c r="H17" s="35">
        <v>3735.0</v>
      </c>
      <c r="I17" s="38">
        <f t="shared" si="1"/>
        <v>64</v>
      </c>
      <c r="J17" s="35">
        <v>7.0</v>
      </c>
      <c r="K17" s="38">
        <f t="shared" si="3"/>
        <v>1109.5</v>
      </c>
      <c r="L17" s="35" t="s">
        <v>40</v>
      </c>
      <c r="M17" s="38">
        <f t="shared" si="4"/>
        <v>3687.5</v>
      </c>
      <c r="N17" s="38">
        <f t="shared" si="2"/>
        <v>158.5</v>
      </c>
      <c r="P17" s="14">
        <v>1109.5</v>
      </c>
    </row>
    <row r="18" hidden="1">
      <c r="A18" s="35">
        <v>10.0</v>
      </c>
      <c r="B18" s="36">
        <v>45204.0</v>
      </c>
      <c r="C18" s="36">
        <v>45222.0</v>
      </c>
      <c r="D18" s="39">
        <v>3231.0</v>
      </c>
      <c r="E18" s="35">
        <v>3150.0</v>
      </c>
      <c r="F18" s="35">
        <v>3325.0</v>
      </c>
      <c r="G18" s="35">
        <v>3325.0</v>
      </c>
      <c r="H18" s="35">
        <v>3219.0</v>
      </c>
      <c r="I18" s="38">
        <f t="shared" si="1"/>
        <v>81</v>
      </c>
      <c r="J18" s="35">
        <v>6.0</v>
      </c>
      <c r="K18" s="38">
        <f t="shared" si="3"/>
        <v>246</v>
      </c>
      <c r="L18" s="35" t="s">
        <v>40</v>
      </c>
      <c r="M18" s="38">
        <f t="shared" si="4"/>
        <v>3933.5</v>
      </c>
      <c r="N18" s="38">
        <f t="shared" si="2"/>
        <v>41</v>
      </c>
    </row>
    <row r="19" hidden="1">
      <c r="A19" s="35">
        <v>11.0</v>
      </c>
      <c r="B19" s="40">
        <v>45068.0</v>
      </c>
      <c r="C19" s="40">
        <v>45069.0</v>
      </c>
      <c r="D19" s="39">
        <v>2734.0</v>
      </c>
      <c r="E19" s="35">
        <v>2650.0</v>
      </c>
      <c r="F19" s="35">
        <v>2785.0</v>
      </c>
      <c r="G19" s="35">
        <v>2683.0</v>
      </c>
      <c r="H19" s="35">
        <v>2683.0</v>
      </c>
      <c r="I19" s="38">
        <f t="shared" si="1"/>
        <v>84</v>
      </c>
      <c r="J19" s="35">
        <v>5.0</v>
      </c>
      <c r="K19" s="38">
        <f t="shared" si="3"/>
        <v>-255</v>
      </c>
      <c r="L19" s="35" t="s">
        <v>42</v>
      </c>
      <c r="M19" s="38">
        <f t="shared" si="4"/>
        <v>3678.5</v>
      </c>
      <c r="N19" s="38">
        <f t="shared" si="2"/>
        <v>-51</v>
      </c>
    </row>
    <row r="20" hidden="1">
      <c r="A20" s="35">
        <v>12.0</v>
      </c>
      <c r="B20" s="40">
        <v>45070.0</v>
      </c>
      <c r="C20" s="36">
        <v>45125.0</v>
      </c>
      <c r="D20" s="39">
        <v>2722.0</v>
      </c>
      <c r="E20" s="35">
        <v>2635.0</v>
      </c>
      <c r="F20" s="35">
        <v>2820.0</v>
      </c>
      <c r="G20" s="35">
        <v>2820.0</v>
      </c>
      <c r="H20" s="35">
        <v>2996.0</v>
      </c>
      <c r="I20" s="38">
        <f t="shared" si="1"/>
        <v>87</v>
      </c>
      <c r="J20" s="35">
        <v>5.0</v>
      </c>
      <c r="K20" s="38">
        <f t="shared" si="3"/>
        <v>930</v>
      </c>
      <c r="L20" s="35" t="s">
        <v>40</v>
      </c>
      <c r="M20" s="38">
        <f t="shared" si="4"/>
        <v>4608.5</v>
      </c>
      <c r="N20" s="38">
        <f t="shared" si="2"/>
        <v>186</v>
      </c>
    </row>
    <row r="21" hidden="1">
      <c r="A21" s="35">
        <v>13.0</v>
      </c>
      <c r="B21" s="36">
        <v>45132.0</v>
      </c>
      <c r="C21" s="36">
        <v>45133.0</v>
      </c>
      <c r="D21" s="39">
        <v>3033.0</v>
      </c>
      <c r="E21" s="35">
        <v>2950.0</v>
      </c>
      <c r="F21" s="35">
        <v>3115.0</v>
      </c>
      <c r="G21" s="35">
        <v>3008.0</v>
      </c>
      <c r="H21" s="35">
        <v>3008.0</v>
      </c>
      <c r="I21" s="38">
        <f t="shared" si="1"/>
        <v>83</v>
      </c>
      <c r="J21" s="35">
        <v>6.0</v>
      </c>
      <c r="K21" s="38">
        <f t="shared" si="3"/>
        <v>-150</v>
      </c>
      <c r="L21" s="35" t="s">
        <v>42</v>
      </c>
      <c r="M21" s="38">
        <f t="shared" si="4"/>
        <v>4458.5</v>
      </c>
      <c r="N21" s="38">
        <f t="shared" si="2"/>
        <v>-25</v>
      </c>
    </row>
    <row r="22" hidden="1">
      <c r="A22" s="35">
        <v>14.0</v>
      </c>
      <c r="B22" s="36">
        <v>44960.0</v>
      </c>
      <c r="C22" s="36">
        <v>44979.0</v>
      </c>
      <c r="D22" s="39">
        <v>2470.0</v>
      </c>
      <c r="E22" s="35">
        <v>2310.0</v>
      </c>
      <c r="F22" s="35">
        <v>2530.0</v>
      </c>
      <c r="G22" s="35">
        <v>2530.0</v>
      </c>
      <c r="H22" s="35">
        <v>2431.0</v>
      </c>
      <c r="I22" s="38">
        <f t="shared" si="1"/>
        <v>160</v>
      </c>
      <c r="J22" s="35">
        <v>3.0</v>
      </c>
      <c r="K22" s="38">
        <f t="shared" si="3"/>
        <v>31.5</v>
      </c>
      <c r="L22" s="35" t="s">
        <v>40</v>
      </c>
      <c r="M22" s="38">
        <f t="shared" si="4"/>
        <v>4490</v>
      </c>
      <c r="N22" s="38">
        <f t="shared" si="2"/>
        <v>10.5</v>
      </c>
    </row>
    <row r="23">
      <c r="A23" s="35">
        <v>15.0</v>
      </c>
      <c r="B23" s="36">
        <v>44796.0</v>
      </c>
      <c r="C23" s="35" t="s">
        <v>91</v>
      </c>
      <c r="D23" s="37">
        <v>2502.0</v>
      </c>
      <c r="E23" s="35">
        <v>2400.0</v>
      </c>
      <c r="F23" s="35">
        <v>2530.0</v>
      </c>
      <c r="G23" s="35">
        <v>2530.0</v>
      </c>
      <c r="H23" s="35">
        <v>2600.0</v>
      </c>
      <c r="I23" s="38">
        <f t="shared" si="1"/>
        <v>102</v>
      </c>
      <c r="J23" s="35">
        <v>4.0</v>
      </c>
      <c r="K23" s="38">
        <f t="shared" si="3"/>
        <v>252</v>
      </c>
      <c r="L23" s="35" t="s">
        <v>40</v>
      </c>
      <c r="M23" s="38">
        <f t="shared" si="4"/>
        <v>4742</v>
      </c>
      <c r="N23" s="38">
        <f t="shared" si="2"/>
        <v>63</v>
      </c>
      <c r="P23" s="14">
        <v>252.0</v>
      </c>
    </row>
    <row r="24" hidden="1">
      <c r="A24" s="35">
        <v>16.0</v>
      </c>
      <c r="B24" s="40">
        <v>44711.0</v>
      </c>
      <c r="C24" s="40">
        <v>44712.0</v>
      </c>
      <c r="D24" s="39">
        <v>2260.0</v>
      </c>
      <c r="E24" s="35">
        <v>2164.0</v>
      </c>
      <c r="F24" s="35">
        <v>2350.0</v>
      </c>
      <c r="G24" s="35">
        <v>2197.0</v>
      </c>
      <c r="H24" s="35">
        <v>2197.0</v>
      </c>
      <c r="I24" s="38">
        <f t="shared" si="1"/>
        <v>96</v>
      </c>
      <c r="J24" s="35">
        <v>5.0</v>
      </c>
      <c r="K24" s="38">
        <f t="shared" si="3"/>
        <v>-315</v>
      </c>
      <c r="L24" s="35" t="s">
        <v>42</v>
      </c>
      <c r="M24" s="38">
        <f t="shared" si="4"/>
        <v>4427</v>
      </c>
      <c r="N24" s="38">
        <f t="shared" si="2"/>
        <v>-63</v>
      </c>
    </row>
    <row r="25" hidden="1">
      <c r="A25" s="35">
        <v>17.0</v>
      </c>
      <c r="B25" s="36">
        <v>44714.0</v>
      </c>
      <c r="C25" s="36">
        <v>44715.0</v>
      </c>
      <c r="D25" s="39">
        <v>2226.0</v>
      </c>
      <c r="E25" s="35">
        <v>2165.0</v>
      </c>
      <c r="F25" s="35">
        <v>2295.0</v>
      </c>
      <c r="G25" s="35">
        <v>2204.0</v>
      </c>
      <c r="H25" s="35">
        <v>2204.0</v>
      </c>
      <c r="I25" s="38">
        <f t="shared" si="1"/>
        <v>61</v>
      </c>
      <c r="J25" s="35">
        <v>8.0</v>
      </c>
      <c r="K25" s="38">
        <f t="shared" si="3"/>
        <v>-176</v>
      </c>
      <c r="L25" s="35" t="s">
        <v>42</v>
      </c>
      <c r="M25" s="38">
        <f t="shared" si="4"/>
        <v>4251</v>
      </c>
      <c r="N25" s="38">
        <f t="shared" si="2"/>
        <v>-22</v>
      </c>
    </row>
    <row r="26">
      <c r="A26" s="35">
        <v>18.0</v>
      </c>
      <c r="B26" s="36">
        <v>44438.0</v>
      </c>
      <c r="C26" s="36">
        <v>44522.0</v>
      </c>
      <c r="D26" s="37">
        <v>1887.0</v>
      </c>
      <c r="E26" s="35">
        <v>1800.0</v>
      </c>
      <c r="F26" s="35">
        <v>2050.0</v>
      </c>
      <c r="G26" s="35">
        <v>2050.0</v>
      </c>
      <c r="H26" s="35">
        <v>2391.0</v>
      </c>
      <c r="I26" s="38">
        <f t="shared" si="1"/>
        <v>87</v>
      </c>
      <c r="J26" s="35">
        <v>5.0</v>
      </c>
      <c r="K26" s="38">
        <f t="shared" si="3"/>
        <v>1667.5</v>
      </c>
      <c r="L26" s="35" t="s">
        <v>40</v>
      </c>
      <c r="M26" s="38">
        <f t="shared" si="4"/>
        <v>5918.5</v>
      </c>
      <c r="N26" s="38">
        <f t="shared" si="2"/>
        <v>333.5</v>
      </c>
      <c r="P26" s="14">
        <v>1667.5</v>
      </c>
    </row>
    <row r="27" hidden="1">
      <c r="A27" s="35">
        <v>19.0</v>
      </c>
      <c r="B27" s="36">
        <v>43930.0</v>
      </c>
      <c r="C27" s="36">
        <v>43934.0</v>
      </c>
      <c r="D27" s="39">
        <v>1044.0</v>
      </c>
      <c r="E27" s="35">
        <v>915.0</v>
      </c>
      <c r="F27" s="35">
        <v>1080.0</v>
      </c>
      <c r="G27" s="35">
        <v>966.0</v>
      </c>
      <c r="H27" s="35">
        <v>966.0</v>
      </c>
      <c r="I27" s="38">
        <f t="shared" si="1"/>
        <v>129</v>
      </c>
      <c r="J27" s="35">
        <v>3.0</v>
      </c>
      <c r="K27" s="38">
        <f t="shared" si="3"/>
        <v>-234</v>
      </c>
      <c r="L27" s="35" t="s">
        <v>42</v>
      </c>
      <c r="M27" s="38">
        <f t="shared" si="4"/>
        <v>5684.5</v>
      </c>
      <c r="N27" s="38">
        <f t="shared" si="2"/>
        <v>-78</v>
      </c>
    </row>
    <row r="28" hidden="1">
      <c r="A28" s="35">
        <v>20.0</v>
      </c>
      <c r="B28" s="36">
        <v>43951.0</v>
      </c>
      <c r="C28" s="40">
        <v>43955.0</v>
      </c>
      <c r="D28" s="39">
        <v>979.0</v>
      </c>
      <c r="E28" s="35">
        <v>895.0</v>
      </c>
      <c r="F28" s="35">
        <v>1015.0</v>
      </c>
      <c r="G28" s="35">
        <v>895.0</v>
      </c>
      <c r="H28" s="35">
        <v>895.0</v>
      </c>
      <c r="I28" s="38">
        <f t="shared" si="1"/>
        <v>84</v>
      </c>
      <c r="J28" s="35">
        <v>5.0</v>
      </c>
      <c r="K28" s="38">
        <f t="shared" si="3"/>
        <v>-420</v>
      </c>
      <c r="L28" s="35" t="s">
        <v>42</v>
      </c>
      <c r="M28" s="38">
        <f t="shared" si="4"/>
        <v>5264.5</v>
      </c>
      <c r="N28" s="38">
        <f t="shared" si="2"/>
        <v>-84</v>
      </c>
    </row>
    <row r="29" hidden="1">
      <c r="A29" s="35">
        <v>21.0</v>
      </c>
      <c r="B29" s="36">
        <v>43747.0</v>
      </c>
      <c r="C29" s="36">
        <v>43774.0</v>
      </c>
      <c r="D29" s="39">
        <v>1236.0</v>
      </c>
      <c r="E29" s="35">
        <v>1150.0</v>
      </c>
      <c r="F29" s="35">
        <v>1330.0</v>
      </c>
      <c r="G29" s="35">
        <v>1330.0</v>
      </c>
      <c r="H29" s="35">
        <v>1283.0</v>
      </c>
      <c r="I29" s="38">
        <f t="shared" si="1"/>
        <v>86</v>
      </c>
      <c r="J29" s="35">
        <v>5.0</v>
      </c>
      <c r="K29" s="38">
        <f t="shared" si="3"/>
        <v>352.5</v>
      </c>
      <c r="L29" s="35" t="s">
        <v>40</v>
      </c>
      <c r="M29" s="38">
        <f t="shared" si="4"/>
        <v>5617</v>
      </c>
      <c r="N29" s="38">
        <f t="shared" si="2"/>
        <v>70.5</v>
      </c>
    </row>
    <row r="30">
      <c r="A30" s="35">
        <v>22.0</v>
      </c>
      <c r="B30" s="36">
        <v>43489.0</v>
      </c>
      <c r="C30" s="36">
        <v>43523.0</v>
      </c>
      <c r="D30" s="37">
        <v>972.0</v>
      </c>
      <c r="E30" s="35">
        <v>920.0</v>
      </c>
      <c r="F30" s="35">
        <v>1070.0</v>
      </c>
      <c r="G30" s="35">
        <v>1070.0</v>
      </c>
      <c r="H30" s="35">
        <v>1016.0</v>
      </c>
      <c r="I30" s="38">
        <f t="shared" si="1"/>
        <v>52</v>
      </c>
      <c r="J30" s="35">
        <v>9.0</v>
      </c>
      <c r="K30" s="38">
        <f t="shared" si="3"/>
        <v>639</v>
      </c>
      <c r="L30" s="35" t="s">
        <v>40</v>
      </c>
      <c r="M30" s="38">
        <f t="shared" si="4"/>
        <v>6256</v>
      </c>
      <c r="N30" s="38">
        <f t="shared" si="2"/>
        <v>71</v>
      </c>
      <c r="P30" s="14">
        <v>639.0</v>
      </c>
    </row>
    <row r="31" hidden="1">
      <c r="A31" s="35">
        <v>23.0</v>
      </c>
      <c r="B31" s="36">
        <v>43529.0</v>
      </c>
      <c r="C31" s="36">
        <v>43567.0</v>
      </c>
      <c r="D31" s="39">
        <v>1040.0</v>
      </c>
      <c r="E31" s="35">
        <v>1005.0</v>
      </c>
      <c r="F31" s="35">
        <v>1120.0</v>
      </c>
      <c r="G31" s="35">
        <v>1120.0</v>
      </c>
      <c r="H31" s="35">
        <v>1097.0</v>
      </c>
      <c r="I31" s="38">
        <f t="shared" si="1"/>
        <v>35</v>
      </c>
      <c r="J31" s="35">
        <v>14.0</v>
      </c>
      <c r="K31" s="38">
        <f t="shared" si="3"/>
        <v>959</v>
      </c>
      <c r="L31" s="35" t="s">
        <v>40</v>
      </c>
      <c r="M31" s="38">
        <f t="shared" si="4"/>
        <v>7215</v>
      </c>
      <c r="N31" s="38">
        <f t="shared" si="2"/>
        <v>68.5</v>
      </c>
    </row>
    <row r="32" hidden="1">
      <c r="A32" s="35">
        <v>24.0</v>
      </c>
      <c r="B32" s="36">
        <v>43571.0</v>
      </c>
      <c r="C32" s="40">
        <v>43591.0</v>
      </c>
      <c r="D32" s="39">
        <v>1125.0</v>
      </c>
      <c r="E32" s="35">
        <v>1090.0</v>
      </c>
      <c r="F32" s="35">
        <v>1160.0</v>
      </c>
      <c r="G32" s="35">
        <v>1160.0</v>
      </c>
      <c r="H32" s="35">
        <v>1090.0</v>
      </c>
      <c r="I32" s="38">
        <f t="shared" si="1"/>
        <v>35</v>
      </c>
      <c r="J32" s="35">
        <v>14.0</v>
      </c>
      <c r="K32" s="38">
        <f t="shared" si="3"/>
        <v>0</v>
      </c>
      <c r="L32" s="35" t="s">
        <v>42</v>
      </c>
      <c r="M32" s="38">
        <f t="shared" si="4"/>
        <v>7215</v>
      </c>
      <c r="N32" s="38">
        <f t="shared" si="2"/>
        <v>0</v>
      </c>
    </row>
    <row r="33" hidden="1">
      <c r="A33" s="35">
        <v>25.0</v>
      </c>
      <c r="B33" s="40">
        <v>43595.0</v>
      </c>
      <c r="C33" s="36">
        <v>43650.0</v>
      </c>
      <c r="D33" s="39">
        <v>1137.0</v>
      </c>
      <c r="E33" s="35">
        <v>1090.0</v>
      </c>
      <c r="F33" s="35">
        <v>1250.0</v>
      </c>
      <c r="G33" s="35">
        <v>1250.0</v>
      </c>
      <c r="H33" s="35">
        <v>1290.0</v>
      </c>
      <c r="I33" s="38">
        <f t="shared" si="1"/>
        <v>47</v>
      </c>
      <c r="J33" s="35">
        <v>10.0</v>
      </c>
      <c r="K33" s="38">
        <f t="shared" si="3"/>
        <v>1330</v>
      </c>
      <c r="L33" s="35" t="s">
        <v>40</v>
      </c>
      <c r="M33" s="38">
        <f t="shared" si="4"/>
        <v>8545</v>
      </c>
      <c r="N33" s="38">
        <f t="shared" si="2"/>
        <v>133</v>
      </c>
    </row>
    <row r="34" hidden="1">
      <c r="A34" s="35">
        <v>26.0</v>
      </c>
      <c r="B34" s="36">
        <v>43210.0</v>
      </c>
      <c r="C34" s="40">
        <v>43231.0</v>
      </c>
      <c r="D34" s="39">
        <v>965.0</v>
      </c>
      <c r="E34" s="35">
        <v>930.0</v>
      </c>
      <c r="F34" s="35">
        <v>1000.0</v>
      </c>
      <c r="G34" s="35">
        <v>956.0</v>
      </c>
      <c r="H34" s="35">
        <v>956.0</v>
      </c>
      <c r="I34" s="38">
        <f t="shared" si="1"/>
        <v>35</v>
      </c>
      <c r="J34" s="35">
        <v>14.0</v>
      </c>
      <c r="K34" s="38">
        <f t="shared" si="3"/>
        <v>-126</v>
      </c>
      <c r="L34" s="35" t="s">
        <v>42</v>
      </c>
      <c r="M34" s="38">
        <f t="shared" si="4"/>
        <v>8419</v>
      </c>
      <c r="N34" s="38">
        <f t="shared" si="2"/>
        <v>-9</v>
      </c>
    </row>
    <row r="35" hidden="1">
      <c r="A35" s="35">
        <v>27.0</v>
      </c>
      <c r="B35" s="36">
        <v>43076.0</v>
      </c>
      <c r="C35" s="36">
        <v>43124.0</v>
      </c>
      <c r="D35" s="39">
        <v>807.0</v>
      </c>
      <c r="E35" s="35">
        <v>770.0</v>
      </c>
      <c r="F35" s="35">
        <v>870.0</v>
      </c>
      <c r="G35" s="35">
        <v>870.0</v>
      </c>
      <c r="H35" s="35">
        <v>886.0</v>
      </c>
      <c r="I35" s="38">
        <f t="shared" si="1"/>
        <v>37</v>
      </c>
      <c r="J35" s="35">
        <v>13.0</v>
      </c>
      <c r="K35" s="38">
        <f t="shared" si="3"/>
        <v>923</v>
      </c>
      <c r="L35" s="35" t="s">
        <v>40</v>
      </c>
      <c r="M35" s="38">
        <f t="shared" si="4"/>
        <v>9342</v>
      </c>
      <c r="N35" s="38">
        <f t="shared" si="2"/>
        <v>71</v>
      </c>
    </row>
    <row r="36">
      <c r="A36" s="35">
        <v>28.0</v>
      </c>
      <c r="B36" s="36">
        <v>42944.0</v>
      </c>
      <c r="C36" s="35" t="s">
        <v>96</v>
      </c>
      <c r="D36" s="37">
        <v>535.0</v>
      </c>
      <c r="E36" s="35">
        <v>515.0</v>
      </c>
      <c r="F36" s="35">
        <v>625.0</v>
      </c>
      <c r="G36" s="35">
        <v>625.0</v>
      </c>
      <c r="H36" s="35">
        <v>618.0</v>
      </c>
      <c r="I36" s="38">
        <f t="shared" si="1"/>
        <v>20</v>
      </c>
      <c r="J36" s="35">
        <v>25.0</v>
      </c>
      <c r="K36" s="38">
        <f t="shared" si="3"/>
        <v>2162.5</v>
      </c>
      <c r="L36" s="35" t="s">
        <v>40</v>
      </c>
      <c r="M36" s="38">
        <f t="shared" si="4"/>
        <v>11504.5</v>
      </c>
      <c r="N36" s="38">
        <f t="shared" si="2"/>
        <v>86.5</v>
      </c>
      <c r="P36" s="14">
        <v>2162.5</v>
      </c>
    </row>
    <row r="37">
      <c r="A37" s="35">
        <v>29.0</v>
      </c>
      <c r="B37" s="36">
        <v>42916.0</v>
      </c>
      <c r="C37" s="36">
        <v>42943.0</v>
      </c>
      <c r="D37" s="37">
        <v>526.0</v>
      </c>
      <c r="E37" s="35">
        <v>503.0</v>
      </c>
      <c r="F37" s="35">
        <v>545.0</v>
      </c>
      <c r="G37" s="35">
        <v>545.0</v>
      </c>
      <c r="H37" s="35">
        <v>527.0</v>
      </c>
      <c r="I37" s="38">
        <f t="shared" si="1"/>
        <v>23</v>
      </c>
      <c r="J37" s="35">
        <v>21.0</v>
      </c>
      <c r="K37" s="38">
        <f t="shared" si="3"/>
        <v>210</v>
      </c>
      <c r="L37" s="35" t="s">
        <v>40</v>
      </c>
      <c r="M37" s="38">
        <f t="shared" si="4"/>
        <v>11714.5</v>
      </c>
      <c r="N37" s="38">
        <f t="shared" si="2"/>
        <v>10</v>
      </c>
      <c r="P37" s="14">
        <v>210.0</v>
      </c>
    </row>
    <row r="38">
      <c r="A38" s="35">
        <v>30.0</v>
      </c>
      <c r="B38" s="36">
        <v>42913.0</v>
      </c>
      <c r="C38" s="36">
        <v>42914.0</v>
      </c>
      <c r="D38" s="37">
        <v>520.0</v>
      </c>
      <c r="E38" s="35">
        <v>506.0</v>
      </c>
      <c r="F38" s="35">
        <v>545.0</v>
      </c>
      <c r="G38" s="35">
        <v>507.0</v>
      </c>
      <c r="H38" s="35">
        <v>507.0</v>
      </c>
      <c r="I38" s="38">
        <f t="shared" si="1"/>
        <v>14</v>
      </c>
      <c r="J38" s="35">
        <v>35.0</v>
      </c>
      <c r="K38" s="38">
        <f t="shared" si="3"/>
        <v>-455</v>
      </c>
      <c r="L38" s="35" t="s">
        <v>42</v>
      </c>
      <c r="M38" s="38">
        <f t="shared" si="4"/>
        <v>11259.5</v>
      </c>
      <c r="N38" s="38">
        <f t="shared" si="2"/>
        <v>-13</v>
      </c>
      <c r="P38" s="14">
        <v>-455.0</v>
      </c>
    </row>
    <row r="39">
      <c r="A39" s="35">
        <v>31.0</v>
      </c>
      <c r="B39" s="36">
        <v>42766.0</v>
      </c>
      <c r="C39" s="36">
        <v>42853.0</v>
      </c>
      <c r="D39" s="37">
        <v>371.0</v>
      </c>
      <c r="E39" s="35">
        <v>355.0</v>
      </c>
      <c r="F39" s="35">
        <v>435.0</v>
      </c>
      <c r="G39" s="35">
        <v>435.0</v>
      </c>
      <c r="H39" s="35">
        <v>470.0</v>
      </c>
      <c r="I39" s="38">
        <f t="shared" si="1"/>
        <v>16</v>
      </c>
      <c r="J39" s="35">
        <v>31.0</v>
      </c>
      <c r="K39" s="38">
        <f t="shared" si="3"/>
        <v>2526.5</v>
      </c>
      <c r="L39" s="35" t="s">
        <v>40</v>
      </c>
      <c r="M39" s="38">
        <f t="shared" si="4"/>
        <v>13786</v>
      </c>
      <c r="N39" s="38">
        <f t="shared" si="2"/>
        <v>81.5</v>
      </c>
      <c r="P39" s="14">
        <v>2526.5</v>
      </c>
    </row>
    <row r="40">
      <c r="A40" s="35">
        <v>32.0</v>
      </c>
      <c r="B40" s="40">
        <v>42857.0</v>
      </c>
      <c r="C40" s="40">
        <v>42864.0</v>
      </c>
      <c r="D40" s="37">
        <v>487.0</v>
      </c>
      <c r="E40" s="35">
        <v>465.0</v>
      </c>
      <c r="F40" s="35">
        <v>520.0</v>
      </c>
      <c r="G40" s="35">
        <v>465.0</v>
      </c>
      <c r="H40" s="35">
        <v>465.0</v>
      </c>
      <c r="I40" s="38">
        <f t="shared" si="1"/>
        <v>22</v>
      </c>
      <c r="J40" s="35">
        <v>22.0</v>
      </c>
      <c r="K40" s="38">
        <f t="shared" si="3"/>
        <v>-484</v>
      </c>
      <c r="L40" s="35" t="s">
        <v>42</v>
      </c>
      <c r="M40" s="38">
        <f t="shared" si="4"/>
        <v>13302</v>
      </c>
      <c r="N40" s="38">
        <f t="shared" si="2"/>
        <v>-22</v>
      </c>
      <c r="P40" s="14">
        <v>-484.0</v>
      </c>
    </row>
    <row r="41" hidden="1">
      <c r="A41" s="35">
        <v>33.0</v>
      </c>
      <c r="B41" s="36">
        <v>42278.0</v>
      </c>
      <c r="C41" s="36">
        <v>42304.0</v>
      </c>
      <c r="D41" s="39">
        <v>330.0</v>
      </c>
      <c r="E41" s="35">
        <v>310.0</v>
      </c>
      <c r="F41" s="35">
        <v>355.0</v>
      </c>
      <c r="G41" s="35">
        <v>355.0</v>
      </c>
      <c r="H41" s="35">
        <v>340.0</v>
      </c>
      <c r="I41" s="38">
        <f t="shared" si="1"/>
        <v>20</v>
      </c>
      <c r="J41" s="35">
        <v>25.0</v>
      </c>
      <c r="K41" s="38">
        <f t="shared" si="3"/>
        <v>437.5</v>
      </c>
      <c r="L41" s="35" t="s">
        <v>40</v>
      </c>
      <c r="M41" s="38">
        <f t="shared" si="4"/>
        <v>13739.5</v>
      </c>
      <c r="N41" s="38">
        <f t="shared" si="2"/>
        <v>17.5</v>
      </c>
    </row>
    <row r="42" hidden="1">
      <c r="A42" s="35">
        <v>34.0</v>
      </c>
      <c r="B42" s="36">
        <v>41809.0</v>
      </c>
      <c r="C42" s="40">
        <v>41828.0</v>
      </c>
      <c r="D42" s="39">
        <v>323.0</v>
      </c>
      <c r="E42" s="35">
        <v>310.0</v>
      </c>
      <c r="F42" s="35">
        <v>350.0</v>
      </c>
      <c r="G42" s="35">
        <v>350.0</v>
      </c>
      <c r="H42" s="35">
        <v>341.0</v>
      </c>
      <c r="I42" s="38">
        <f t="shared" si="1"/>
        <v>13</v>
      </c>
      <c r="J42" s="35">
        <v>38.0</v>
      </c>
      <c r="K42" s="38">
        <f t="shared" si="3"/>
        <v>855</v>
      </c>
      <c r="L42" s="35" t="s">
        <v>40</v>
      </c>
      <c r="M42" s="38">
        <f t="shared" si="4"/>
        <v>14594.5</v>
      </c>
      <c r="N42" s="38">
        <f t="shared" si="2"/>
        <v>22.5</v>
      </c>
    </row>
    <row r="43" hidden="1">
      <c r="A43" s="35">
        <v>35.0</v>
      </c>
      <c r="B43" s="36">
        <v>41829.0</v>
      </c>
      <c r="C43" s="36">
        <v>41830.0</v>
      </c>
      <c r="D43" s="39">
        <v>350.0</v>
      </c>
      <c r="E43" s="35">
        <v>325.0</v>
      </c>
      <c r="F43" s="35">
        <v>370.0</v>
      </c>
      <c r="G43" s="35">
        <v>327.0</v>
      </c>
      <c r="H43" s="35">
        <v>327.0</v>
      </c>
      <c r="I43" s="38">
        <f t="shared" si="1"/>
        <v>25</v>
      </c>
      <c r="J43" s="35">
        <v>20.0</v>
      </c>
      <c r="K43" s="38">
        <f t="shared" si="3"/>
        <v>-460</v>
      </c>
      <c r="L43" s="35" t="s">
        <v>42</v>
      </c>
      <c r="M43" s="38">
        <f t="shared" si="4"/>
        <v>14134.5</v>
      </c>
      <c r="N43" s="38">
        <f t="shared" si="2"/>
        <v>-23</v>
      </c>
    </row>
    <row r="44">
      <c r="A44" s="35">
        <v>36.0</v>
      </c>
      <c r="B44" s="36">
        <v>41792.0</v>
      </c>
      <c r="C44" s="36">
        <v>41808.0</v>
      </c>
      <c r="D44" s="37">
        <v>318.0</v>
      </c>
      <c r="E44" s="35">
        <v>300.0</v>
      </c>
      <c r="F44" s="35">
        <v>340.0</v>
      </c>
      <c r="G44" s="35">
        <v>340.0</v>
      </c>
      <c r="H44" s="35">
        <v>314.0</v>
      </c>
      <c r="I44" s="38">
        <f t="shared" si="1"/>
        <v>18</v>
      </c>
      <c r="J44" s="35">
        <v>27.0</v>
      </c>
      <c r="K44" s="38">
        <f t="shared" si="3"/>
        <v>243</v>
      </c>
      <c r="L44" s="35" t="s">
        <v>40</v>
      </c>
      <c r="M44" s="38">
        <f t="shared" si="4"/>
        <v>14377.5</v>
      </c>
      <c r="N44" s="38">
        <f t="shared" si="2"/>
        <v>9</v>
      </c>
      <c r="P44" s="14">
        <v>243.0</v>
      </c>
    </row>
    <row r="45">
      <c r="A45" s="35">
        <v>37.0</v>
      </c>
      <c r="B45" s="36">
        <v>41725.0</v>
      </c>
      <c r="C45" s="36">
        <v>41744.0</v>
      </c>
      <c r="D45" s="37">
        <v>255.0</v>
      </c>
      <c r="E45" s="35">
        <v>245.0</v>
      </c>
      <c r="F45" s="35">
        <v>270.0</v>
      </c>
      <c r="G45" s="35">
        <v>270.0</v>
      </c>
      <c r="H45" s="35">
        <v>257.0</v>
      </c>
      <c r="I45" s="38">
        <f t="shared" si="1"/>
        <v>10</v>
      </c>
      <c r="J45" s="35">
        <v>50.0</v>
      </c>
      <c r="K45" s="38">
        <f t="shared" si="3"/>
        <v>425</v>
      </c>
      <c r="L45" s="35" t="s">
        <v>40</v>
      </c>
      <c r="M45" s="38">
        <f t="shared" si="4"/>
        <v>14802.5</v>
      </c>
      <c r="N45" s="38">
        <f t="shared" si="2"/>
        <v>8.5</v>
      </c>
      <c r="P45" s="14">
        <v>425.0</v>
      </c>
    </row>
    <row r="46" hidden="1">
      <c r="A46" s="35">
        <v>38.0</v>
      </c>
      <c r="B46" s="36">
        <v>41464.0</v>
      </c>
      <c r="C46" s="36">
        <v>41487.0</v>
      </c>
      <c r="D46" s="39">
        <v>242.0</v>
      </c>
      <c r="E46" s="35">
        <v>230.0</v>
      </c>
      <c r="F46" s="35">
        <v>260.0</v>
      </c>
      <c r="G46" s="35">
        <v>260.0</v>
      </c>
      <c r="H46" s="35">
        <v>256.0</v>
      </c>
      <c r="I46" s="38">
        <f t="shared" si="1"/>
        <v>12</v>
      </c>
      <c r="J46" s="35">
        <v>41.0</v>
      </c>
      <c r="K46" s="38">
        <f t="shared" si="3"/>
        <v>656</v>
      </c>
      <c r="L46" s="35" t="s">
        <v>40</v>
      </c>
      <c r="M46" s="38">
        <f t="shared" si="4"/>
        <v>15458.5</v>
      </c>
      <c r="N46" s="38">
        <f t="shared" si="2"/>
        <v>16</v>
      </c>
    </row>
    <row r="47" hidden="1">
      <c r="A47" s="35">
        <v>39.0</v>
      </c>
      <c r="B47" s="36">
        <v>41214.0</v>
      </c>
      <c r="C47" s="36">
        <v>41253.0</v>
      </c>
      <c r="D47" s="39">
        <v>287.0</v>
      </c>
      <c r="E47" s="35">
        <v>255.0</v>
      </c>
      <c r="F47" s="35">
        <v>305.0</v>
      </c>
      <c r="G47" s="35">
        <v>305.0</v>
      </c>
      <c r="H47" s="35">
        <v>296.0</v>
      </c>
      <c r="I47" s="38">
        <f t="shared" si="1"/>
        <v>32</v>
      </c>
      <c r="J47" s="35">
        <v>15.0</v>
      </c>
      <c r="K47" s="38">
        <f t="shared" si="3"/>
        <v>202.5</v>
      </c>
      <c r="L47" s="35" t="s">
        <v>40</v>
      </c>
      <c r="M47" s="38">
        <f t="shared" si="4"/>
        <v>15661</v>
      </c>
      <c r="N47" s="38">
        <f t="shared" si="2"/>
        <v>13.5</v>
      </c>
    </row>
    <row r="48">
      <c r="A48" s="35">
        <v>40.0</v>
      </c>
      <c r="B48" s="36">
        <v>40942.0</v>
      </c>
      <c r="C48" s="36">
        <v>40991.0</v>
      </c>
      <c r="D48" s="37">
        <v>200.0</v>
      </c>
      <c r="E48" s="35">
        <v>192.0</v>
      </c>
      <c r="F48" s="35">
        <v>230.0</v>
      </c>
      <c r="G48" s="35">
        <v>230.0</v>
      </c>
      <c r="H48" s="35">
        <v>232.0</v>
      </c>
      <c r="I48" s="38">
        <f t="shared" si="1"/>
        <v>8</v>
      </c>
      <c r="J48" s="35">
        <v>62.5</v>
      </c>
      <c r="K48" s="38">
        <f t="shared" si="3"/>
        <v>1937.5</v>
      </c>
      <c r="L48" s="35" t="s">
        <v>40</v>
      </c>
      <c r="M48" s="38">
        <f t="shared" si="4"/>
        <v>17598.5</v>
      </c>
      <c r="N48" s="38">
        <f t="shared" si="2"/>
        <v>31</v>
      </c>
      <c r="P48" s="14">
        <v>1937.5</v>
      </c>
    </row>
    <row r="49">
      <c r="K49" s="14">
        <f>SUM(K9:K48)</f>
        <v>17598.5</v>
      </c>
    </row>
    <row r="53">
      <c r="B53" s="42"/>
      <c r="C53" s="43"/>
      <c r="D53" s="42" t="s">
        <v>105</v>
      </c>
      <c r="E53" s="45"/>
      <c r="F53" s="11" t="s">
        <v>97</v>
      </c>
      <c r="G53" s="46">
        <v>832.98</v>
      </c>
      <c r="H53" s="11" t="s">
        <v>98</v>
      </c>
      <c r="I53" s="11">
        <v>32.1</v>
      </c>
    </row>
    <row r="54">
      <c r="B54" s="42"/>
      <c r="C54" s="43"/>
      <c r="D54" s="42" t="s">
        <v>106</v>
      </c>
      <c r="E54" s="45"/>
      <c r="F54" s="11" t="s">
        <v>100</v>
      </c>
      <c r="G54" s="11">
        <v>289.93</v>
      </c>
      <c r="H54" s="11" t="s">
        <v>67</v>
      </c>
      <c r="I54" s="11">
        <v>3996.0</v>
      </c>
    </row>
    <row r="55">
      <c r="B55" s="43"/>
      <c r="C55" s="43"/>
      <c r="D55" s="42" t="s">
        <v>101</v>
      </c>
      <c r="E55" s="45"/>
      <c r="F55" s="11" t="s">
        <v>60</v>
      </c>
      <c r="G55" s="11">
        <v>17598.5</v>
      </c>
      <c r="H55" s="11" t="s">
        <v>102</v>
      </c>
      <c r="I55" s="11">
        <v>1284.0</v>
      </c>
    </row>
    <row r="56">
      <c r="B56" s="38"/>
      <c r="C56" s="35" t="s">
        <v>107</v>
      </c>
      <c r="D56" s="10">
        <v>17598.46</v>
      </c>
      <c r="E56" s="45"/>
      <c r="F56" s="11" t="s">
        <v>61</v>
      </c>
      <c r="G56" s="11">
        <v>1284.0</v>
      </c>
      <c r="H56" s="11" t="s">
        <v>104</v>
      </c>
      <c r="I56" s="11">
        <f>(I55/I54)*100</f>
        <v>32.13213213</v>
      </c>
    </row>
    <row r="57">
      <c r="D57" s="35"/>
    </row>
  </sheetData>
  <autoFilter ref="$A$8:$N$49">
    <filterColumn colId="3">
      <colorFilter cellColor="0" dxfId="1"/>
    </filterColumn>
  </autoFilter>
  <drawing r:id="rId1"/>
</worksheet>
</file>